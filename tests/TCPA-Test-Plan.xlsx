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.ellebie\Projects\Southern\Claude_projects\sdlc-agents\tests\"/>
    </mc:Choice>
  </mc:AlternateContent>
  <xr:revisionPtr revIDLastSave="0" documentId="8_{1F97EEB3-216D-4E85-A821-B5F62B3AF337}" xr6:coauthVersionLast="47" xr6:coauthVersionMax="47" xr10:uidLastSave="{00000000-0000-0000-0000-000000000000}"/>
  <bookViews>
    <workbookView xWindow="-110" yWindow="-110" windowWidth="19420" windowHeight="11500" xr2:uid="{BEB395EE-5579-46AA-AFF2-223440FF9A81}"/>
  </bookViews>
  <sheets>
    <sheet name="Test Cases" sheetId="3" r:id="rId1"/>
    <sheet name="Coverage Summary" sheetId="2" r:id="rId2"/>
    <sheet name="Traceability Matrix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" i="2" l="1"/>
  <c r="L4" i="2"/>
  <c r="L3" i="2"/>
  <c r="I9" i="2"/>
  <c r="I8" i="2"/>
  <c r="I7" i="2"/>
  <c r="I6" i="2"/>
  <c r="I5" i="2"/>
  <c r="I4" i="2"/>
  <c r="I3" i="2"/>
  <c r="F6" i="2"/>
  <c r="F5" i="2"/>
  <c r="F4" i="2"/>
  <c r="F3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</calcChain>
</file>

<file path=xl/sharedStrings.xml><?xml version="1.0" encoding="utf-8"?>
<sst xmlns="http://schemas.openxmlformats.org/spreadsheetml/2006/main" count="2993" uniqueCount="996">
  <si>
    <t>TC_ID</t>
  </si>
  <si>
    <t>Test Case Name</t>
  </si>
  <si>
    <t>Module</t>
  </si>
  <si>
    <t>Source Traceability</t>
  </si>
  <si>
    <t>Priority</t>
  </si>
  <si>
    <t>Test Type</t>
  </si>
  <si>
    <t>Scenario Type</t>
  </si>
  <si>
    <t>Automated Coverage</t>
  </si>
  <si>
    <t>Preconditions</t>
  </si>
  <si>
    <t>Step #</t>
  </si>
  <si>
    <t>Step Description</t>
  </si>
  <si>
    <t>Expected Result</t>
  </si>
  <si>
    <t>TCPA-TC-001</t>
  </si>
  <si>
    <t>OptOutStatus_WriteOptOut_PersistsWithStatusAndTimestamp</t>
  </si>
  <si>
    <t>OptOutStatusStore</t>
  </si>
  <si>
    <t>STORY-001 AC-001 | SPEC-009 BR-027</t>
  </si>
  <si>
    <t>Critical</t>
  </si>
  <si>
    <t>Automated</t>
  </si>
  <si>
    <t>Positive</t>
  </si>
  <si>
    <t>tests\TCPA.Core.Tests\Repositories\OptOutStatusRepositoryTests.cs</t>
  </si>
  <si>
    <t>Database available; phone number not previously opted out</t>
  </si>
  <si>
    <t>Status is opted-out; effectiveAt populated (UTC); last_event_id links to audit record</t>
  </si>
  <si>
    <t>1. Call OptOutStatus write with E.164 phone and opted-out status</t>
  </si>
  <si>
    <t>2. Query the status store for same number</t>
  </si>
  <si>
    <t>TCPA-TC-002</t>
  </si>
  <si>
    <t>OptOutStatus_ReadUnknownNumber_ReturnsOptedIn</t>
  </si>
  <si>
    <t>STORY-001 AC-002 | SPEC-009 BR-021</t>
  </si>
  <si>
    <t>Database available; phone number has no existing record</t>
  </si>
  <si>
    <t>Returned status is opted-in (ASM-002 default)</t>
  </si>
  <si>
    <t>1. Call opt-out status read for number never in store</t>
  </si>
  <si>
    <t>2. Evaluate returned status</t>
  </si>
  <si>
    <t>TCPA-TC-003</t>
  </si>
  <si>
    <t>OptOutStatus_ConcurrentWrite_ProducesExactlyOneRecord</t>
  </si>
  <si>
    <t>STORY-001 AC-003 | SPEC-009 BR-027</t>
  </si>
  <si>
    <t>High</t>
  </si>
  <si>
    <t>Edge</t>
  </si>
  <si>
    <t>Database available; test can issue parallel transactions</t>
  </si>
  <si>
    <t>Exactly one opt-out record exists; upsert semantics applied; no unique-key violation</t>
  </si>
  <si>
    <t>1. Issue two simultaneous opt-out write requests for same phone number</t>
  </si>
  <si>
    <t>2. Wait for both</t>
  </si>
  <si>
    <t>3. Query status store</t>
  </si>
  <si>
    <t>TCPA-TC-004</t>
  </si>
  <si>
    <t>OptOutStatus_ReadPerformance_100msP99</t>
  </si>
  <si>
    <t>STORY-001 AC-004 | SPEC-009 BR-029</t>
  </si>
  <si>
    <t>Manual+Automated</t>
  </si>
  <si>
    <t>NFR</t>
  </si>
  <si>
    <t>Database loaded with 10000+ records; monitoring enabled</t>
  </si>
  <si>
    <t>P99 latency is &lt;= 100ms</t>
  </si>
  <si>
    <t>1. Issue 1000 sequential status reads for random phone numbers</t>
  </si>
  <si>
    <t>2. Record elapsed time per call</t>
  </si>
  <si>
    <t>3. Calculate P99</t>
  </si>
  <si>
    <t>TCPA-TC-005</t>
  </si>
  <si>
    <t>OptOutStatus_UpsertSemantics_NoDuplicateInsert</t>
  </si>
  <si>
    <t>SPEC-009 BR-027</t>
  </si>
  <si>
    <t>Phone number already has opted-out record</t>
  </si>
  <si>
    <t>Exactly one record exists; no duplicate row</t>
  </si>
  <si>
    <t>1. Write a second opted-out status for same phone number</t>
  </si>
  <si>
    <t>2. Query count</t>
  </si>
  <si>
    <t>TCPA-TC-006</t>
  </si>
  <si>
    <t>OptOutStatus_StatusTransitionCycle_Allowed</t>
  </si>
  <si>
    <t>SPEC-009 BR-028</t>
  </si>
  <si>
    <t>Database available</t>
  </si>
  <si>
    <t>Current status is opted-out; all transitions captured in audit log</t>
  </si>
  <si>
    <t>1. Write opted-out for number X</t>
  </si>
  <si>
    <t>2. Write opted-in for X</t>
  </si>
  <si>
    <t>3. Write opted-out for X again</t>
  </si>
  <si>
    <t>4. Read current status</t>
  </si>
  <si>
    <t>TCPA-TC-007</t>
  </si>
  <si>
    <t>OptOutStatus_ReOptInForUnknownNumber_PermittedAndAnomalous</t>
  </si>
  <si>
    <t>SPEC-011 BR-038</t>
  </si>
  <si>
    <t>tests\TCPA.Core.Tests\Services\ReOptInServiceTests.cs</t>
  </si>
  <si>
    <t>Phone number has no opt-out record</t>
  </si>
  <si>
    <t>Result is success; status set to opted-in; audit record includes anomaly note</t>
  </si>
  <si>
    <t>1. Call admin re-opt-in for number with no existing opt-out</t>
  </si>
  <si>
    <t>2. Check result and audit entry</t>
  </si>
  <si>
    <t>TCPA-TC-008</t>
  </si>
  <si>
    <t>AuditLog_WriteEvent_AllFieldsPresent</t>
  </si>
  <si>
    <t>AuditLogging</t>
  </si>
  <si>
    <t>STORY-002 AC-001 | SPEC-010 BR-031</t>
  </si>
  <si>
    <t>tests\TCPA.Core.Tests\Repositories\AuditLogRepositoryTests.cs</t>
  </si>
  <si>
    <t>Record exists with auditId, eventType=STOP_RECEIVED, phoneNumber, occurredAt, applicationId, messageId, details JSON</t>
  </si>
  <si>
    <t>1. Write audit record for STOP_RECEIVED with all fields</t>
  </si>
  <si>
    <t>2. Query the audit log</t>
  </si>
  <si>
    <t>TCPA-TC-009</t>
  </si>
  <si>
    <t>AuditLog_QueryByPhoneAndDateRange_Chronological</t>
  </si>
  <si>
    <t>STORY-002 AC-002 | SPEC-010 BR-033</t>
  </si>
  <si>
    <t>5 audit records for same phone across two weeks</t>
  </si>
  <si>
    <t>Exactly 3 records returned in chronological order</t>
  </si>
  <si>
    <t>1. Insert 5 records spanning two weeks</t>
  </si>
  <si>
    <t>2. Query by phone and date range covering 3 of them</t>
  </si>
  <si>
    <t>TCPA-TC-010</t>
  </si>
  <si>
    <t>AuditLog_WriteFailureBlocksOptOutOperation</t>
  </si>
  <si>
    <t>STORY-002 AC-003 | SPEC-010 error condition</t>
  </si>
  <si>
    <t>Negative</t>
  </si>
  <si>
    <t>Database fails during audit insert</t>
  </si>
  <si>
    <t>Both status record and audit record absent (full rollback)</t>
  </si>
  <si>
    <t>1. Trigger opt-out under simulated audit write failure</t>
  </si>
  <si>
    <t>2. Check status store</t>
  </si>
  <si>
    <t>TCPA-TC-011</t>
  </si>
  <si>
    <t>AuditLog_FiveYearRetention_RecordsQueryable</t>
  </si>
  <si>
    <t>STORY-002 AC-004 | SPEC-010 BR-032 | NFS-003</t>
  </si>
  <si>
    <t>Manual</t>
  </si>
  <si>
    <t>None</t>
  </si>
  <si>
    <t>Audit records dated 5 years ago in database</t>
  </si>
  <si>
    <t>Records returned; query completes within 30 seconds</t>
  </si>
  <si>
    <t>1. Query audit log with date range starting 5 years ago</t>
  </si>
  <si>
    <t>2. Measure response time</t>
  </si>
  <si>
    <t>TCPA-TC-012</t>
  </si>
  <si>
    <t>AuditLog_UpdateAttempt_Rejected</t>
  </si>
  <si>
    <t>SPEC-010 BR-031</t>
  </si>
  <si>
    <t>Immutability trigger deployed</t>
  </si>
  <si>
    <t>UPDATE fails; record unchanged; trigger raises error</t>
  </si>
  <si>
    <t>1. Attempt to UPDATE existing audit record</t>
  </si>
  <si>
    <t>TCPA-TC-013</t>
  </si>
  <si>
    <t>AuditLog_DeleteAttempt_Rejected</t>
  </si>
  <si>
    <t>DELETE fails; record remains; trigger raises error</t>
  </si>
  <si>
    <t>1. Attempt to DELETE existing audit record</t>
  </si>
  <si>
    <t>TCPA-TC-014</t>
  </si>
  <si>
    <t>AuditLog_AtomicWriteWithOptOut_BothSucceedOrRollBack</t>
  </si>
  <si>
    <t>SPEC-010 BR-034 | STORY-002 AC-001</t>
  </si>
  <si>
    <t>Both status and audit records exist with matching linked IDs</t>
  </si>
  <si>
    <t>1. Execute opt-out write in single transaction</t>
  </si>
  <si>
    <t>2. Verify both records</t>
  </si>
  <si>
    <t>TCPA-TC-015</t>
  </si>
  <si>
    <t>AuditLog_QueryByEventTypeAndApplicationId</t>
  </si>
  <si>
    <t>SPEC-010 BR-033</t>
  </si>
  <si>
    <t>Audit records across multiple event types and applications</t>
  </si>
  <si>
    <t>Only matching records returned</t>
  </si>
  <si>
    <t>1. Insert records for STOP_RECEIVED and OPT_OUT_WRITTEN across two apps</t>
  </si>
  <si>
    <t>2. Query by eventType=STOP_RECEIVED and applicationId=biztalk</t>
  </si>
  <si>
    <t>TCPA-TC-016</t>
  </si>
  <si>
    <t>CoolTextRegistry_AccountLookup_ReturnsFullEntry</t>
  </si>
  <si>
    <t>CoolTextRegistry</t>
  </si>
  <si>
    <t>STORY-003 AC-001 | SPEC-015 BR-049</t>
  </si>
  <si>
    <t>tests\TCPA.Core.Tests\Repositories\CoolTextAccountRepositoryTests.cs</t>
  </si>
  <si>
    <t>Active account seeded</t>
  </si>
  <si>
    <t>Returns applicationId, applicationName, callbackUrl, isActive=true</t>
  </si>
  <si>
    <t>1. Look up registered Cool Text account number</t>
  </si>
  <si>
    <t>2. Inspect returned entry</t>
  </si>
  <si>
    <t>TCPA-TC-017</t>
  </si>
  <si>
    <t>CoolTextRegistry_DuplicateRegistration_UniqueConstraintViolation</t>
  </si>
  <si>
    <t>STORY-003 AC-002 | SPEC-015 BR-049</t>
  </si>
  <si>
    <t>One account already registered</t>
  </si>
  <si>
    <t>Unique constraint violation; duplicate not inserted</t>
  </si>
  <si>
    <t>1. Insert second account row with same cooltext_account_number</t>
  </si>
  <si>
    <t>TCPA-TC-018</t>
  </si>
  <si>
    <t>CoolTextRegistry_UnregisteredAccount_Returns400</t>
  </si>
  <si>
    <t>STORY-003 AC-003 | SPEC-001 BR-001</t>
  </si>
  <si>
    <t>tests\TCPA.Api.Tests\Controllers\InboundWebhookControllerTests.cs</t>
  </si>
  <si>
    <t>Account number not in registry</t>
  </si>
  <si>
    <t>HTTP 400 with descriptive error identifying unregistered account</t>
  </si>
  <si>
    <t>1. POST /webhook/inbound with to not in registry</t>
  </si>
  <si>
    <t>TCPA-TC-019</t>
  </si>
  <si>
    <t>CoolTextRegistry_NewAccountEffectiveWithoutRestart</t>
  </si>
  <si>
    <t>STORY-003 AC-004 | SPEC-015 BR-051</t>
  </si>
  <si>
    <t>Service running</t>
  </si>
  <si>
    <t>Account resolved without service restart</t>
  </si>
  <si>
    <t>1. Insert new account via SQL</t>
  </si>
  <si>
    <t>2. Immediately send request referencing that account</t>
  </si>
  <si>
    <t>TCPA-TC-020</t>
  </si>
  <si>
    <t>CoolTextRegistry_InactiveAccount_Returns400</t>
  </si>
  <si>
    <t>SPEC-015 BR-050</t>
  </si>
  <si>
    <t>Account in registry with isActive=false</t>
  </si>
  <si>
    <t>HTTP 400; inactive account rejected</t>
  </si>
  <si>
    <t>1. POST /webhook/inbound with to matching inactive account</t>
  </si>
  <si>
    <t>TCPA-TC-021</t>
  </si>
  <si>
    <t>CoolTextRegistry_Phase1AppsSeedPresent</t>
  </si>
  <si>
    <t>SPEC-015 BR-052</t>
  </si>
  <si>
    <t>Initial migration and seed executed</t>
  </si>
  <si>
    <t>All four present with isActive=true</t>
  </si>
  <si>
    <t>1. Query CoolTextAccount for BizTalk GCMA KMI ARM</t>
  </si>
  <si>
    <t>TCPA-TC-022</t>
  </si>
  <si>
    <t>CoolTextRegistry_CcbSeededAsInactive</t>
  </si>
  <si>
    <t>Initial seed executed</t>
  </si>
  <si>
    <t>CCB entry present with isActive=false</t>
  </si>
  <si>
    <t>1. Query CoolTextAccount for CCB/My Account</t>
  </si>
  <si>
    <t>TCPA-TC-023</t>
  </si>
  <si>
    <t>SystemConfig_ReadExistingKey_ReturnsCurrentValue</t>
  </si>
  <si>
    <t>SystemConfig</t>
  </si>
  <si>
    <t>STORY-004 AC-001 | SPEC-016 BR-053</t>
  </si>
  <si>
    <t>tests\TCPA.Core.Tests\Repositories\SystemConfigRepositoryTests.cs</t>
  </si>
  <si>
    <t>optOutMessageBody key exists</t>
  </si>
  <si>
    <t>Returns current non-empty string value</t>
  </si>
  <si>
    <t>1. Call config read for optOutMessageBody</t>
  </si>
  <si>
    <t>TCPA-TC-024</t>
  </si>
  <si>
    <t>SystemConfig_UpdatedValueReflectedImmediately</t>
  </si>
  <si>
    <t>Service running with config in database</t>
  </si>
  <si>
    <t>Next dispatch uses updated wording; no restart required</t>
  </si>
  <si>
    <t>1. Update optOutMessageBody in SystemConfig table</t>
  </si>
  <si>
    <t>2. Trigger confirmation dispatch immediately after</t>
  </si>
  <si>
    <t>TCPA-TC-025</t>
  </si>
  <si>
    <t>SystemConfig_MissingOptOutBody_AlertAndNoBlankSMS</t>
  </si>
  <si>
    <t>STORY-004 AC-002 | SPEC-016 BR-054</t>
  </si>
  <si>
    <t>tests\TCPA.MessageProcessor.Tests\Services\ConfirmationDispatchServiceTests.cs</t>
  </si>
  <si>
    <t>optOutMessageBody missing or empty</t>
  </si>
  <si>
    <t>Dispatch halted; alert raised; no blank SMS sent; audit marked confirmation-failed</t>
  </si>
  <si>
    <t>1. Delete or empty the config key</t>
  </si>
  <si>
    <t>2. Trigger STOP event</t>
  </si>
  <si>
    <t>TCPA-TC-026</t>
  </si>
  <si>
    <t>SystemConfig_SeedDataPresentAfterMigration</t>
  </si>
  <si>
    <t>STORY-004 AC-003 | SPEC-016</t>
  </si>
  <si>
    <t>Initial migration executed</t>
  </si>
  <si>
    <t>Keys present: optOutMessageBody reportRecipients reportSchedule adminApi.rateLimitPerMinute</t>
  </si>
  <si>
    <t>1. Query SystemConfig for all expected seed keys</t>
  </si>
  <si>
    <t>TCPA-TC-027</t>
  </si>
  <si>
    <t>SystemConfig_ReportRecipientListConfigurable</t>
  </si>
  <si>
    <t>SPEC-016 BR-048</t>
  </si>
  <si>
    <t>SystemConfig seeded</t>
  </si>
  <si>
    <t>Report sent to updated recipient list</t>
  </si>
  <si>
    <t>1. Update reportRecipients.compliance to test email list</t>
  </si>
  <si>
    <t>2. Trigger compliance report</t>
  </si>
  <si>
    <t>3. Check email recipients</t>
  </si>
  <si>
    <t>TCPA-TC-028</t>
  </si>
  <si>
    <t>Logging_ProductionLogWrittenForMessageEvents</t>
  </si>
  <si>
    <t>Logging</t>
  </si>
  <si>
    <t>STORY-005 AC-001 | SPEC-017 BR-055</t>
  </si>
  <si>
    <t>tests\TCPA.MessageProcessor.Tests\Workers\InboundMessageWorkerTests.cs</t>
  </si>
  <si>
    <t>Logging at production level</t>
  </si>
  <si>
    <t>Log entry written with timestamp eventType applicationId messageId; no message body</t>
  </si>
  <si>
    <t>1. Process inbound webhook request</t>
  </si>
  <si>
    <t>2. Capture log output</t>
  </si>
  <si>
    <t>TCPA-TC-029</t>
  </si>
  <si>
    <t>Logging_PhoneNumberHashedInProductionLogs</t>
  </si>
  <si>
    <t>STORY-005 AC-001 | SPEC-017 BR-057</t>
  </si>
  <si>
    <t>Security</t>
  </si>
  <si>
    <t>tests\TCPA.Core.Tests\Services\PhoneNumberHasherTests.cs</t>
  </si>
  <si>
    <t>Plain text +14045551234 does not appear; hashed value appears instead</t>
  </si>
  <si>
    <t>1. Process STOP from +14045551234</t>
  </si>
  <si>
    <t>2. Examine production log output</t>
  </si>
  <si>
    <t>TCPA-TC-030</t>
  </si>
  <si>
    <t>Logging_DebugLogWithFullPayloadWhenEnabled</t>
  </si>
  <si>
    <t>STORY-005 AC-002 | SPEC-017 BR-056</t>
  </si>
  <si>
    <t>Debug logging explicitly enabled</t>
  </si>
  <si>
    <t>Full request/response payload and internal steps logged with unhashed phone number</t>
  </si>
  <si>
    <t>1. Enable debug level</t>
  </si>
  <si>
    <t>2. Process inbound request</t>
  </si>
  <si>
    <t>3. Capture log</t>
  </si>
  <si>
    <t>TCPA-TC-031</t>
  </si>
  <si>
    <t>Logging_DebugModeDisabledByDefault</t>
  </si>
  <si>
    <t>STORY-005 AC-003 | SPEC-017 BR-056</t>
  </si>
  <si>
    <t>Fresh production deployment</t>
  </si>
  <si>
    <t>Log level is Information or higher; debug disabled</t>
  </si>
  <si>
    <t>1. Read log level from default appsettings.json</t>
  </si>
  <si>
    <t>TCPA-TC-032</t>
  </si>
  <si>
    <t>Logging_ProductionLogFreeOfMessageBody</t>
  </si>
  <si>
    <t>SPEC-017 BR-055</t>
  </si>
  <si>
    <t>Known message body processed; production logging active</t>
  </si>
  <si>
    <t>Text Test content absent from all production log lines</t>
  </si>
  <si>
    <t>1. Process message with body=Test content</t>
  </si>
  <si>
    <t>2. Capture all production logs</t>
  </si>
  <si>
    <t>TCPA-TC-033</t>
  </si>
  <si>
    <t>Logging_AuthFailureLoggedAtProductionLevel</t>
  </si>
  <si>
    <t>tests\TCPA.Api.Tests\Filters\ApiKeyAuthFilterTests.cs</t>
  </si>
  <si>
    <t>Auth failure event logged with eventType and timestamp; no PII</t>
  </si>
  <si>
    <t>1. Send request with invalid API key</t>
  </si>
  <si>
    <t>2. Capture log</t>
  </si>
  <si>
    <t>TCPA-TC-034</t>
  </si>
  <si>
    <t>InboundWebhook_ValidRequest_Returns200ReceivedAndInternalId</t>
  </si>
  <si>
    <t>InboundWebhook</t>
  </si>
  <si>
    <t>STORY-006 AC-001 | SPEC-001</t>
  </si>
  <si>
    <t>tests\TCPA.Api.Tests\Controllers\InboundWebhookControllerTests.cs | tests\functional\journeys\InboundOptOutJourneyTests.cs</t>
  </si>
  <si>
    <t>API running; Cool Text account registered; valid API key</t>
  </si>
  <si>
    <t>HTTP 200; status=received; non-empty internalId (UUID)</t>
  </si>
  <si>
    <t>1. POST /webhook/inbound with valid payload and X-Api-Key</t>
  </si>
  <si>
    <t>2. Check response</t>
  </si>
  <si>
    <t>TCPA-TC-035</t>
  </si>
  <si>
    <t>InboundWebhook_ValidRequest_PublishesToKafka</t>
  </si>
  <si>
    <t>STORY-006 AC-001 | SPEC-001 BR-003</t>
  </si>
  <si>
    <t>tests\functional\journeys\InboundOptOutJourneyTests.cs</t>
  </si>
  <si>
    <t>API running with mocked Kafka publisher</t>
  </si>
  <si>
    <t>Publisher called once with correct messageId from to</t>
  </si>
  <si>
    <t>1. POST valid inbound payload</t>
  </si>
  <si>
    <t>2. Verify Kafka publish call</t>
  </si>
  <si>
    <t>TCPA-TC-036</t>
  </si>
  <si>
    <t>InboundWebhook_DuplicateMessageId_IdempotentNoRepublish</t>
  </si>
  <si>
    <t>STORY-006 AC-002 | SPEC-001</t>
  </si>
  <si>
    <t>First request already processed</t>
  </si>
  <si>
    <t>HTTP 200; same internalId returned; Kafka NOT called again</t>
  </si>
  <si>
    <t>1. POST with messageId previously received</t>
  </si>
  <si>
    <t>2. Check response and Kafka count</t>
  </si>
  <si>
    <t>TCPA-TC-037</t>
  </si>
  <si>
    <t>InboundWebhook_InvalidApiKey_Returns401</t>
  </si>
  <si>
    <t>STORY-006 AC-003 | SPEC-001 BR-002 | NFS-004</t>
  </si>
  <si>
    <t>API running</t>
  </si>
  <si>
    <t>HTTP 401; auth failure logged</t>
  </si>
  <si>
    <t>1. POST /webhook/inbound with X-Api-Key=invalid-key</t>
  </si>
  <si>
    <t>TCPA-TC-038</t>
  </si>
  <si>
    <t>InboundWebhook_MissingApiKey_Returns401</t>
  </si>
  <si>
    <t>STORY-006 AC-003 | NFS-004</t>
  </si>
  <si>
    <t>HTTP 401</t>
  </si>
  <si>
    <t>1. POST /webhook/inbound without X-Api-Key header</t>
  </si>
  <si>
    <t>TCPA-TC-039</t>
  </si>
  <si>
    <t>InboundWebhook_UnregisteredAccount_Returns400</t>
  </si>
  <si>
    <t>STORY-006 AC-004 | SPEC-001 BR-001</t>
  </si>
  <si>
    <t>to number not in CoolTextAccount table</t>
  </si>
  <si>
    <t>1. POST with to set to unknown account number</t>
  </si>
  <si>
    <t>TCPA-TC-040</t>
  </si>
  <si>
    <t>InboundWebhook_MissingRequiredField_Returns400WithFieldDetail</t>
  </si>
  <si>
    <t>STORY-006 AC-005 | SPEC-001</t>
  </si>
  <si>
    <t>tests\TCPA.Api.Tests\Models\ModelValidationTests.cs</t>
  </si>
  <si>
    <t>Each returns HTTP 400; response body names the missing field</t>
  </si>
  <si>
    <t>1. POST omitting from field</t>
  </si>
  <si>
    <t>2. Repeat with to body messageId each omitted</t>
  </si>
  <si>
    <t>TCPA-TC-041</t>
  </si>
  <si>
    <t>InboundWebhook_ResponseWithin5Seconds</t>
  </si>
  <si>
    <t>SPEC-001 BR-003</t>
  </si>
  <si>
    <t>tests\TCPA.Api.Tests\Integration\ApiIntegrationTests.cs</t>
  </si>
  <si>
    <t>API running with real database</t>
  </si>
  <si>
    <t>HTTP 200 received in under 5 seconds</t>
  </si>
  <si>
    <t>1. Time POST to /webhook/inbound from send to response received</t>
  </si>
  <si>
    <t>TCPA-TC-042</t>
  </si>
  <si>
    <t>InboundWebhook_MalformedPhoneNumber_Returns400</t>
  </si>
  <si>
    <t>SPEC-001 edge case</t>
  </si>
  <si>
    <t>HTTP 400 with validation failure message</t>
  </si>
  <si>
    <t>1. POST with from=not-a-phone</t>
  </si>
  <si>
    <t>TCPA-TC-043</t>
  </si>
  <si>
    <t>InboundWebhook_ContractValidation_FieldPresenceAndTypes</t>
  </si>
  <si>
    <t>SPEC-001 | ADR-007</t>
  </si>
  <si>
    <t>Medium</t>
  </si>
  <si>
    <t>Contract</t>
  </si>
  <si>
    <t>tests\functional\contracts\InboundWebhookContractTests.cs</t>
  </si>
  <si>
    <t>Response has status (string) and internalId (UUID string)</t>
  </si>
  <si>
    <t>1. POST valid request</t>
  </si>
  <si>
    <t>2. Parse 200 response</t>
  </si>
  <si>
    <t>3. Verify fields against OpenAPI spec</t>
  </si>
  <si>
    <t>TCPA-TC-044</t>
  </si>
  <si>
    <t>KeywordDetection_StopKeyword_CaseInsensitiveMatch</t>
  </si>
  <si>
    <t>KeywordDetection</t>
  </si>
  <si>
    <t>STORY-007 AC-001 | SPEC-002 BR-004</t>
  </si>
  <si>
    <t>tests\TCPA.Core.Tests\Services\KeywordDetectionServiceTests.cs</t>
  </si>
  <si>
    <t>KeywordDetectionService instantiated</t>
  </si>
  <si>
    <t>All return isOptOut=true; matchedKeyword=STOP</t>
  </si>
  <si>
    <t>1. Call detection with body=stop</t>
  </si>
  <si>
    <t>2. Repeat with Stop STOP</t>
  </si>
  <si>
    <t>TCPA-TC-045</t>
  </si>
  <si>
    <t>KeywordDetection_AllSevenKeywordsMatch</t>
  </si>
  <si>
    <t>STORY-007 AC-002 | SPEC-002 BR-004</t>
  </si>
  <si>
    <t>All return isOptOut=true with correct matchedKeyword</t>
  </si>
  <si>
    <t>1. Call detection for QUIT END REVOKE OPT-OUT CANCEL UNSUBSCRIBE in various cases</t>
  </si>
  <si>
    <t>TCPA-TC-046</t>
  </si>
  <si>
    <t>KeywordDetection_PhraseContainingKeyword_NoMatch</t>
  </si>
  <si>
    <t>STORY-007 AC-003 | SPEC-002 BR-005</t>
  </si>
  <si>
    <t>All return isOptOut=false</t>
  </si>
  <si>
    <t>1. Call detection with Please STOP texting</t>
  </si>
  <si>
    <t>2. I want to CANCEL my service</t>
  </si>
  <si>
    <t>3. STOPNOW</t>
  </si>
  <si>
    <t>TCPA-TC-047</t>
  </si>
  <si>
    <t>KeywordDetection_OptOutSpaceNotHyphen_NoMatch</t>
  </si>
  <si>
    <t>STORY-007 AC-004 | SPEC-002 BR-007</t>
  </si>
  <si>
    <t>Both return isOptOut=false; only OPT-OUT with hyphen matches</t>
  </si>
  <si>
    <t>1. Call detection with body=opt out (space)</t>
  </si>
  <si>
    <t>2. Call with OPT OUT</t>
  </si>
  <si>
    <t>TCPA-TC-048</t>
  </si>
  <si>
    <t>KeywordDetection_NullOrEmptyBody_ReturnsFalse</t>
  </si>
  <si>
    <t>STORY-007 AC-005 | SPEC-002 error condition</t>
  </si>
  <si>
    <t>All return isOptOut=false; no exception thrown</t>
  </si>
  <si>
    <t>1. Call with body=null</t>
  </si>
  <si>
    <t>2. Call with body=empty string</t>
  </si>
  <si>
    <t>3. Call with body=whitespace only</t>
  </si>
  <si>
    <t>TCPA-TC-049</t>
  </si>
  <si>
    <t>KeywordDetection_WhitespaceTrimmedBeforeComparison</t>
  </si>
  <si>
    <t>SPEC-002 BR-006</t>
  </si>
  <si>
    <t>Both return isOptOut=true after trimming</t>
  </si>
  <si>
    <t>1. Call detection with STOP surrounded by spaces</t>
  </si>
  <si>
    <t>2. Call with stop followed by newline</t>
  </si>
  <si>
    <t>TCPA-TC-050</t>
  </si>
  <si>
    <t>KeywordDetection_NormalizedBodyFieldInOutput</t>
  </si>
  <si>
    <t>SPEC-002 output contract</t>
  </si>
  <si>
    <t>normalizedBody=STOP (trimmed and uppercased)</t>
  </si>
  <si>
    <t>1. Call detection with stop surrounded by spaces</t>
  </si>
  <si>
    <t>2. Inspect normalizedBody field</t>
  </si>
  <si>
    <t>TCPA-TC-051</t>
  </si>
  <si>
    <t>OptOutProcessing_FirstOptOut_WritesRecordAndAudit</t>
  </si>
  <si>
    <t>OptOutProcessing</t>
  </si>
  <si>
    <t>STORY-008 AC-001 | SPEC-003 BR-009 BR-010</t>
  </si>
  <si>
    <t>tests\TCPA.MessageProcessor.Tests\Services\OptOutProcessingServiceTests.cs</t>
  </si>
  <si>
    <t>Database available; phone not previously opted out</t>
  </si>
  <si>
    <t>OptOutStatus created with status=opted-out; OPT_OUT_WRITTEN audit written atomically</t>
  </si>
  <si>
    <t>1. Process opt-out event for new phone number</t>
  </si>
  <si>
    <t>2. Query status store and audit log</t>
  </si>
  <si>
    <t>TCPA-TC-052</t>
  </si>
  <si>
    <t>OptOutProcessing_FirstOptOut_TriggersConfirmationDispatch</t>
  </si>
  <si>
    <t>STORY-008 AC-001 | SPEC-003 BR-009</t>
  </si>
  <si>
    <t>Mocked ConfirmationDispatcher</t>
  </si>
  <si>
    <t>ConfirmationDispatcher invoked once after successful status write</t>
  </si>
  <si>
    <t>1. Process opt-out event</t>
  </si>
  <si>
    <t>2. Verify confirmation dispatch called</t>
  </si>
  <si>
    <t>TCPA-TC-053</t>
  </si>
  <si>
    <t>OptOutProcessing_DuplicateStop_NoNewRecord_ConfirmationStillSent</t>
  </si>
  <si>
    <t>STORY-008 AC-002 | SPEC-003 BR-008</t>
  </si>
  <si>
    <t>Phone already opted out</t>
  </si>
  <si>
    <t>No new opt-out record; duplicate noted in audit; confirmation still dispatched</t>
  </si>
  <si>
    <t>1. Process STOP from already-opted-out number</t>
  </si>
  <si>
    <t>2. Check status store count audit log confirmation dispatch</t>
  </si>
  <si>
    <t>TCPA-TC-054</t>
  </si>
  <si>
    <t>OptOutProcessing_DatabaseFailure_BothRecordsRolledBack</t>
  </si>
  <si>
    <t>STORY-008 AC-003 | SPEC-003 error condition</t>
  </si>
  <si>
    <t>Database configured to fail on commit</t>
  </si>
  <si>
    <t>Neither status record nor audit record exists; full rollback confirmed</t>
  </si>
  <si>
    <t>1. Process opt-out under database failure</t>
  </si>
  <si>
    <t>2. Check status store and audit log</t>
  </si>
  <si>
    <t>TCPA-TC-055</t>
  </si>
  <si>
    <t>OptOutProcessing_DatabaseFailure_ConfirmationNotTriggered</t>
  </si>
  <si>
    <t>STORY-008 AC-003 | SPEC-003</t>
  </si>
  <si>
    <t>Mocked ConfirmationDispatcher; database fails</t>
  </si>
  <si>
    <t>ConfirmationDispatcher never invoked on rollback</t>
  </si>
  <si>
    <t>2. Verify ConfirmationDispatcher not called</t>
  </si>
  <si>
    <t>TCPA-TC-056</t>
  </si>
  <si>
    <t>ConfirmationDispatch_SentWithin60Seconds</t>
  </si>
  <si>
    <t>ConfirmationDispatch</t>
  </si>
  <si>
    <t>STORY-009 AC-001 | SPEC-004 BR-012 | NFR-001</t>
  </si>
  <si>
    <t>tests\TCPA.MessageProcessor.Tests\Services\ConfirmationDispatchServiceTests.cs | tests\functional\journeys\InboundOptOutJourneyTests.cs</t>
  </si>
  <si>
    <t>Mocked Cool Text; config has optOutMessageBody</t>
  </si>
  <si>
    <t>dispatchedAt minus receivedAt &lt;= 60 seconds</t>
  </si>
  <si>
    <t>1. Record receivedAt</t>
  </si>
  <si>
    <t>2. Process opt-out and trigger confirmation</t>
  </si>
  <si>
    <t>3. Record dispatchedAt</t>
  </si>
  <si>
    <t>TCPA-TC-057</t>
  </si>
  <si>
    <t>ConfirmationDispatch_MessageBodyReadFromConfig</t>
  </si>
  <si>
    <t>STORY-009 AC-001 | SPEC-004 BR-011</t>
  </si>
  <si>
    <t>Config has specific known wording</t>
  </si>
  <si>
    <t>SMS body matches current config value exactly</t>
  </si>
  <si>
    <t>1. Set optOutMessageBody to known test string</t>
  </si>
  <si>
    <t>2. Trigger confirmation</t>
  </si>
  <si>
    <t>3. Inspect SMS sent to Cool Text mock</t>
  </si>
  <si>
    <t>TCPA-TC-058</t>
  </si>
  <si>
    <t>ConfirmationDispatch_SentViaSameCoolTextAccount</t>
  </si>
  <si>
    <t>STORY-009 AC-001 | SPEC-004 BR-013</t>
  </si>
  <si>
    <t>Mocked Cool Text client</t>
  </si>
  <si>
    <t>Confirmation dispatched using CT-GCMA-001 as sender</t>
  </si>
  <si>
    <t>1. Process STOP received on account CT-GCMA-001</t>
  </si>
  <si>
    <t>2. Inspect Cool Text API call</t>
  </si>
  <si>
    <t>TCPA-TC-059</t>
  </si>
  <si>
    <t>ConfirmationDispatch_UpdatedWordingUsedOnNextDispatch</t>
  </si>
  <si>
    <t>STORY-009 AC-002 | SPEC-004 BR-011</t>
  </si>
  <si>
    <t>Config accessible; no restart between update and dispatch</t>
  </si>
  <si>
    <t>New wording used in dispatched SMS</t>
  </si>
  <si>
    <t>1. Update optOutMessageBody to new wording</t>
  </si>
  <si>
    <t>2. Trigger next confirmation dispatch</t>
  </si>
  <si>
    <t>TCPA-TC-060</t>
  </si>
  <si>
    <t>ConfirmationDispatch_TransientFailure_RetriesThreeTimes</t>
  </si>
  <si>
    <t>STORY-009 AC-003 | SPEC-004 error condition</t>
  </si>
  <si>
    <t>Cool Text client returns failure twice then succeeds</t>
  </si>
  <si>
    <t>Three attempts made; final attempt succeeds; audit shows CONFIRMATION_DISPATCHED</t>
  </si>
  <si>
    <t>1. Process STOP</t>
  </si>
  <si>
    <t>2. First two dispatch attempts fail; third succeeds</t>
  </si>
  <si>
    <t>TCPA-TC-061</t>
  </si>
  <si>
    <t>ConfirmationDispatch_AllRetriesExhausted_AuditFailedAndAlert</t>
  </si>
  <si>
    <t>STORY-009 AC-003 | SPEC-004</t>
  </si>
  <si>
    <t>Cool Text client returns failure for all three attempts</t>
  </si>
  <si>
    <t>CONFIRMATION_FAILED audit written; alert raised</t>
  </si>
  <si>
    <t>1. Process STOP; all three attempts fail</t>
  </si>
  <si>
    <t>TCPA-TC-062</t>
  </si>
  <si>
    <t>ConfirmationDispatch_SLABreach_ConfirmationStillSentWithAudit</t>
  </si>
  <si>
    <t>STORY-009 AC-004 | SPEC-004 BR-012</t>
  </si>
  <si>
    <t>Simulated delay exceeding 60 seconds</t>
  </si>
  <si>
    <t>SMS still sent; SLA_BREACH audit written; production alert raised</t>
  </si>
  <si>
    <t>1. Inject delay causing dispatchedAt &gt; receivedAt + 60s</t>
  </si>
  <si>
    <t>2. Process confirmation</t>
  </si>
  <si>
    <t>TCPA-TC-063</t>
  </si>
  <si>
    <t>ConfirmationDispatch_MissingConfig_HaltedAndAlert</t>
  </si>
  <si>
    <t>STORY-009 AC-005 | SPEC-004 BR-054</t>
  </si>
  <si>
    <t>optOutMessageBody key missing</t>
  </si>
  <si>
    <t>No SMS dispatched; alert raised; audit shows confirmation-failed</t>
  </si>
  <si>
    <t>1. Trigger confirmation dispatch</t>
  </si>
  <si>
    <t>2. Check outcome</t>
  </si>
  <si>
    <t>TCPA-TC-064</t>
  </si>
  <si>
    <t>ConfirmationDispatch_MessageBodySnapshotInAuditLog</t>
  </si>
  <si>
    <t>SPEC-004 BR-014</t>
  </si>
  <si>
    <t>Database and mocked Cool Text available</t>
  </si>
  <si>
    <t>Exact body sent stored in audit details field</t>
  </si>
  <si>
    <t>1. Dispatch confirmation with known body</t>
  </si>
  <si>
    <t>2. Read audit record details JSON</t>
  </si>
  <si>
    <t>TCPA-TC-065</t>
  </si>
  <si>
    <t>GeneralReply_NonOptOutForwardedByteForByte</t>
  </si>
  <si>
    <t>GeneralReplyForwarding</t>
  </si>
  <si>
    <t>STORY-010 AC-001 | SPEC-005 BR-015</t>
  </si>
  <si>
    <t>tests\TCPA.MessageProcessor.Tests\Services\ReplyForwardingServiceTests.cs</t>
  </si>
  <si>
    <t>CoolTextAccount registry has registered callback URL</t>
  </si>
  <si>
    <t>Callback URL called with exact original message body; no modification</t>
  </si>
  <si>
    <t>1. Process inbound message body=How do I pay my bill (non-keyword)</t>
  </si>
  <si>
    <t>2. Verify callback invocation</t>
  </si>
  <si>
    <t>TCPA-TC-066</t>
  </si>
  <si>
    <t>GeneralReply_CallbackUrlResolvedFromRegistry</t>
  </si>
  <si>
    <t>STORY-010 AC-001 | SPEC-005 BR-016</t>
  </si>
  <si>
    <t>Account CT-BIZTALK-001 has registered callback URL</t>
  </si>
  <si>
    <t>Callback invoked at URL registered for CT-BIZTALK-001</t>
  </si>
  <si>
    <t>1. Process inbound on CT-BIZTALK-001</t>
  </si>
  <si>
    <t>2. Verify target URL</t>
  </si>
  <si>
    <t>TCPA-TC-067</t>
  </si>
  <si>
    <t>GeneralReply_Non2xxCallback_LoggedFailedNoRetry</t>
  </si>
  <si>
    <t>STORY-010 AC-002 | SPEC-005 BR-017</t>
  </si>
  <si>
    <t>Mocked callback returns HTTP 500</t>
  </si>
  <si>
    <t>Failure logged with applicationId messageId status; no retry attempt; IT alerted</t>
  </si>
  <si>
    <t>1. Process non-opt-out message</t>
  </si>
  <si>
    <t>2. Callback returns 500</t>
  </si>
  <si>
    <t>TCPA-TC-068</t>
  </si>
  <si>
    <t>GeneralReply_CallbackUnreachable_LoggedAndAlert</t>
  </si>
  <si>
    <t>STORY-010 AC-002 | SPEC-005 error condition</t>
  </si>
  <si>
    <t>Callback URL configured to unreachable host</t>
  </si>
  <si>
    <t>Forwarding failure logged; IT alert raised; no retry</t>
  </si>
  <si>
    <t>2. Callback times out</t>
  </si>
  <si>
    <t>TCPA-TC-069</t>
  </si>
  <si>
    <t>GeneralReply_OptOutKeywordReachingForwarding_AnomalyAndHalt</t>
  </si>
  <si>
    <t>STORY-010 AC-003 | SPEC-005 edge case</t>
  </si>
  <si>
    <t>Opt-out keyword message injected into forwarding path</t>
  </si>
  <si>
    <t>Forward halted; anomaly alert raised; message not forwarded</t>
  </si>
  <si>
    <t>1. Inject opt-out keyword message into forwarding step</t>
  </si>
  <si>
    <t>2. Check result</t>
  </si>
  <si>
    <t>TCPA-TC-070</t>
  </si>
  <si>
    <t>OutboundSubmission_OptedInNumber_Returns200Queued</t>
  </si>
  <si>
    <t>OutboundSubmission</t>
  </si>
  <si>
    <t>STORY-011 AC-001 | SPEC-006</t>
  </si>
  <si>
    <t>tests\TCPA.Api.Tests\Controllers\OutboundMessagesControllerTests.cs | tests\functional\journeys\OutboundSmsComplianceJourneyTests.cs</t>
  </si>
  <si>
    <t>API running; destination opted-in</t>
  </si>
  <si>
    <t>HTTP 200; status=queued; messageId (UUID) present; queuedAt present</t>
  </si>
  <si>
    <t>1. POST /api/v1/messages/outbound with opted-in destination</t>
  </si>
  <si>
    <t>TCPA-TC-071</t>
  </si>
  <si>
    <t>OutboundSubmission_OptedInNumber_PublishedToKafka</t>
  </si>
  <si>
    <t>tests\TCPA.Api.Tests\Messaging\KafkaMessagePublisherTests.cs</t>
  </si>
  <si>
    <t>Mocked Kafka publisher</t>
  </si>
  <si>
    <t>Message published to outbound-messages topic exactly once</t>
  </si>
  <si>
    <t>1. POST valid outbound request for opted-in number</t>
  </si>
  <si>
    <t>2. Verify Kafka publish</t>
  </si>
  <si>
    <t>TCPA-TC-072</t>
  </si>
  <si>
    <t>OutboundSubmission_OptedOutNumber_Returns200Suppressed</t>
  </si>
  <si>
    <t>STORY-011 AC-002 | SPEC-006 | NFS-002</t>
  </si>
  <si>
    <t>Destination number opted-out</t>
  </si>
  <si>
    <t>HTTP 200; status=suppressed; suppressionReason=opted-out; messageId=null</t>
  </si>
  <si>
    <t>1. POST /api/v1/messages/outbound with opted-out destination</t>
  </si>
  <si>
    <t>TCPA-TC-073</t>
  </si>
  <si>
    <t>OutboundSubmission_OptedOutNumber_NotPublishedToKafka</t>
  </si>
  <si>
    <t>STORY-011 AC-002 | SPEC-006</t>
  </si>
  <si>
    <t>tests\TCPA.Api.Tests\Controllers\OutboundMessagesControllerTests.cs</t>
  </si>
  <si>
    <t>Opted-out destination; mocked Kafka</t>
  </si>
  <si>
    <t>Kafka publisher not invoked for suppressed messages</t>
  </si>
  <si>
    <t>1. POST for opted-out number</t>
  </si>
  <si>
    <t>2. Verify Kafka not called</t>
  </si>
  <si>
    <t>TCPA-TC-074</t>
  </si>
  <si>
    <t>OutboundSubmission_DuplicateCorrelationId_IdempotentResponse</t>
  </si>
  <si>
    <t>STORY-011 AC-003 | SPEC-006 BR-018</t>
  </si>
  <si>
    <t>First request with correlationId already processed</t>
  </si>
  <si>
    <t>Original response returned; message not re-queued</t>
  </si>
  <si>
    <t>1. POST outbound with correlationId already seen</t>
  </si>
  <si>
    <t>TCPA-TC-075</t>
  </si>
  <si>
    <t>OutboundSubmission_UnregisteredCoolTextAccount_Returns400</t>
  </si>
  <si>
    <t>STORY-011 AC-004 | SPEC-006 BR-019</t>
  </si>
  <si>
    <t>coolTextAccountNumber not in registry</t>
  </si>
  <si>
    <t>HTTP 400 with descriptive error</t>
  </si>
  <si>
    <t>1. POST with unregistered account</t>
  </si>
  <si>
    <t>TCPA-TC-076</t>
  </si>
  <si>
    <t>OutboundSubmission_Overloaded_Returns503WithRetryAfter</t>
  </si>
  <si>
    <t>STORY-011 AC-005 | SPEC-006 BR-020</t>
  </si>
  <si>
    <t>API simulated as overloaded</t>
  </si>
  <si>
    <t>HTTP 503; Retry-After header present</t>
  </si>
  <si>
    <t>1. POST outbound under simulated overload</t>
  </si>
  <si>
    <t>TCPA-TC-077</t>
  </si>
  <si>
    <t>OutboundSubmission_InvalidApiKey_Returns401</t>
  </si>
  <si>
    <t>SPEC-006 error condition | NFS-004</t>
  </si>
  <si>
    <t>1. POST /api/v1/messages/outbound without valid API key</t>
  </si>
  <si>
    <t>TCPA-TC-078</t>
  </si>
  <si>
    <t>OutboundSubmission_BodyExceeds160Chars_Returns400</t>
  </si>
  <si>
    <t>SPEC-006 edge case</t>
  </si>
  <si>
    <t>HTTP 400 with validation error</t>
  </si>
  <si>
    <t>1. POST with body field of 161 characters</t>
  </si>
  <si>
    <t>TCPA-TC-079</t>
  </si>
  <si>
    <t>OutboundSubmission_QueueTimeSuppression_AuditWritten</t>
  </si>
  <si>
    <t>SPEC-007 BR-022</t>
  </si>
  <si>
    <t>Opted-out destination; audit capture enabled</t>
  </si>
  <si>
    <t>SUPPRESSED_QUEUE_TIME audit written with toNumber hash messageId applicationId checkedAt</t>
  </si>
  <si>
    <t>1. POST outbound for opted-out number</t>
  </si>
  <si>
    <t>2. Query audit log</t>
  </si>
  <si>
    <t>TCPA-TC-080</t>
  </si>
  <si>
    <t>OutboundSubmission_ContractValidation_ResponseFields</t>
  </si>
  <si>
    <t>SPEC-006 | ADR-007</t>
  </si>
  <si>
    <t>tests\functional\contracts\OutboundSmsApiContractTests.cs</t>
  </si>
  <si>
    <t>status (string) messageId (UUID) queuedAt (ISO 8601) present and correctly typed</t>
  </si>
  <si>
    <t>1. POST valid queued request</t>
  </si>
  <si>
    <t>2. Validate 200 response</t>
  </si>
  <si>
    <t>TCPA-TC-081</t>
  </si>
  <si>
    <t>FailSafe_HealthCheck_Returns200AllDependenciesHealthy</t>
  </si>
  <si>
    <t>FailSafeResilience</t>
  </si>
  <si>
    <t>STORY-012 AC-001</t>
  </si>
  <si>
    <t>tests\TCPA.Api.Tests\Controllers\HealthControllerTests.cs | tests\functional\smoke\TcpaApiSmokeTests.cs</t>
  </si>
  <si>
    <t>API running; all dependencies healthy</t>
  </si>
  <si>
    <t>HTTP 200; status=healthy; database=ok kafka=ok authService=ok</t>
  </si>
  <si>
    <t>1. GET /api/v1/health</t>
  </si>
  <si>
    <t>TCPA-TC-082</t>
  </si>
  <si>
    <t>FailSafe_HealthCheck_Returns503WhenDependencyUnhealthy</t>
  </si>
  <si>
    <t>STORY-012 AC-002</t>
  </si>
  <si>
    <t>tests\TCPA.Api.Tests\Controllers\HealthControllerTests.cs</t>
  </si>
  <si>
    <t>Database simulated as unreachable</t>
  </si>
  <si>
    <t>HTTP 503; unhealthy dependency identified</t>
  </si>
  <si>
    <t>1. GET /api/v1/health with database unreachable</t>
  </si>
  <si>
    <t>TCPA-TC-083</t>
  </si>
  <si>
    <t>FailSafe_UnhealthyNodeRemovedFromNlbWithin30Seconds</t>
  </si>
  <si>
    <t>STORY-012 AC-002 | RISK-002</t>
  </si>
  <si>
    <t>NLB configured; second API node available</t>
  </si>
  <si>
    <t>Node removed from rotation within 30 seconds</t>
  </si>
  <si>
    <t>1. Kill database connection on one node</t>
  </si>
  <si>
    <t>2. Measure time until NLB stops routing to that node</t>
  </si>
  <si>
    <t>TCPA-TC-084</t>
  </si>
  <si>
    <t>FailSafe_HealthyNodeReturnedToRotationOnRecovery</t>
  </si>
  <si>
    <t>STORY-012 AC-004</t>
  </si>
  <si>
    <t>NLB with health check configured</t>
  </si>
  <si>
    <t>Node automatically returned to rotation after health check returns 200</t>
  </si>
  <si>
    <t>1. Restore database connectivity on previously failed node</t>
  </si>
  <si>
    <t>2. Observe NLB routing</t>
  </si>
  <si>
    <t>TCPA-TC-085</t>
  </si>
  <si>
    <t>FailSafe_HealthCheckContract_FieldTypes</t>
  </si>
  <si>
    <t>ADR-007</t>
  </si>
  <si>
    <t>tests\functional\contracts\HealthContractTests.cs</t>
  </si>
  <si>
    <t>status (string) checks (object) timestamp (ISO 8601 string) all present</t>
  </si>
  <si>
    <t>2. Validate response fields</t>
  </si>
  <si>
    <t>TCPA-TC-086</t>
  </si>
  <si>
    <t>QueueTimeCheck_OptedInNumber_PassesWithin100ms</t>
  </si>
  <si>
    <t>QueueTimeCheck</t>
  </si>
  <si>
    <t>STORY-013 AC-001 | SPEC-007 BR-023</t>
  </si>
  <si>
    <t>Status store accessible; number opted-in</t>
  </si>
  <si>
    <t>Check completes within 100ms P99; message proceeds to Kafka</t>
  </si>
  <si>
    <t>1. POST outbound for opted-in number</t>
  </si>
  <si>
    <t>2. Measure time for queue-time check</t>
  </si>
  <si>
    <t>TCPA-TC-087</t>
  </si>
  <si>
    <t>QueueTimeCheck_OptedOutNumber_SuppressedWithAudit</t>
  </si>
  <si>
    <t>STORY-013 AC-002 | SPEC-007 BR-022</t>
  </si>
  <si>
    <t>Number opted-out in status store</t>
  </si>
  <si>
    <t>Response status=suppressed; SUPPRESSED_QUEUE_TIME audit written</t>
  </si>
  <si>
    <t>2. Check response and audit</t>
  </si>
  <si>
    <t>TCPA-TC-088</t>
  </si>
  <si>
    <t>QueueTimeCheck_StatusStoreUnavailable_Returns503</t>
  </si>
  <si>
    <t>STORY-013 AC-003 | SPEC-007 error condition</t>
  </si>
  <si>
    <t>Status store unreachable</t>
  </si>
  <si>
    <t>HTTP 503; message NOT published to Kafka</t>
  </si>
  <si>
    <t>1. POST outbound with status store unreachable</t>
  </si>
  <si>
    <t>TCPA-TC-089</t>
  </si>
  <si>
    <t>QueueTimeCheck_NoRecord_TreatedAsOptedIn</t>
  </si>
  <si>
    <t>SPEC-007 BR-021</t>
  </si>
  <si>
    <t>Number has no record in status store</t>
  </si>
  <si>
    <t>Message queued (opted-in by default per ASM-002)</t>
  </si>
  <si>
    <t>1. POST outbound for number with no status record</t>
  </si>
  <si>
    <t>TCPA-TC-090</t>
  </si>
  <si>
    <t>QueueTimeCheck_SuppressedMessageLogIncludesRequiredFields</t>
  </si>
  <si>
    <t>tests\TCPA.OutboundDispatcher.Tests\Services\OutboundGateServiceTests.cs</t>
  </si>
  <si>
    <t>Number opted-out; audit capture enabled</t>
  </si>
  <si>
    <t>Record contains toNumber (hashed) messageId applicationId checkedAt</t>
  </si>
  <si>
    <t>1. Submit outbound for opted-out number</t>
  </si>
  <si>
    <t>2. Inspect SUPPRESSED_QUEUE_TIME audit record</t>
  </si>
  <si>
    <t>TCPA-TC-091</t>
  </si>
  <si>
    <t>SendTimeCheck_OptedInAtSendTime_Dispatched</t>
  </si>
  <si>
    <t>SendTimeCheck</t>
  </si>
  <si>
    <t>STORY-014 AC-001 | SPEC-008</t>
  </si>
  <si>
    <t>tests\TCPA.OutboundDispatcher.Tests\Workers\OutboundMessageWorkerTests.cs</t>
  </si>
  <si>
    <t>Message queued; number still opted-in</t>
  </si>
  <si>
    <t>Message dispatched to Cool Text; dispatch audit written</t>
  </si>
  <si>
    <t>1. Consume queued message in OutboundDispatcher</t>
  </si>
  <si>
    <t>2. Check send-time check and dispatch</t>
  </si>
  <si>
    <t>TCPA-TC-092</t>
  </si>
  <si>
    <t>SendTimeCheck_RaceCondition_SuppressedSendTimeAuditWritten</t>
  </si>
  <si>
    <t>STORY-014 AC-002 | SPEC-008 BR-024 BR-025</t>
  </si>
  <si>
    <t>optOutEffectiveAt &gt; queuedAt</t>
  </si>
  <si>
    <t>Suppressed; SUPPRESSED_SEND_TIME audit with queuedAt and optOutEffectiveAt; classified as accepted edge case</t>
  </si>
  <si>
    <t>1. Set optOutEffectiveAt after queuedAt</t>
  </si>
  <si>
    <t>2. Run send-time check</t>
  </si>
  <si>
    <t>TCPA-TC-093</t>
  </si>
  <si>
    <t>SendTimeCheck_OptOutPreQueue_PotentialViolationAlert</t>
  </si>
  <si>
    <t>STORY-014 AC-003 | SPEC-008 BR-026</t>
  </si>
  <si>
    <t>optOutEffectiveAt &lt;= queuedAt</t>
  </si>
  <si>
    <t>Suppressed; POTENTIAL_VIOLATION alert raised immediately; audit flags for investigation</t>
  </si>
  <si>
    <t>1. Set up scenario where opt-out was before message queued</t>
  </si>
  <si>
    <t>TCPA-TC-094</t>
  </si>
  <si>
    <t>SendTimeCheck_StatusStoreUnavailable_FailSafeSuppress</t>
  </si>
  <si>
    <t>STORY-014 AC-004 | SPEC-008 error condition</t>
  </si>
  <si>
    <t>Status store unreachable at send time</t>
  </si>
  <si>
    <t>Message suppressed; alert raised; failure logged</t>
  </si>
  <si>
    <t>1. Simulate status store unavailability at send-time check</t>
  </si>
  <si>
    <t>TCPA-TC-095</t>
  </si>
  <si>
    <t>SendTimeCheck_AuditRecordIncludesTimestamps</t>
  </si>
  <si>
    <t>SPEC-008 BR-024</t>
  </si>
  <si>
    <t>Race condition suppression scenario</t>
  </si>
  <si>
    <t>Details contain queuedAt and optOutEffectiveAt timestamps</t>
  </si>
  <si>
    <t>1. Process send-time suppression</t>
  </si>
  <si>
    <t>2. Read SUPPRESSED_SEND_TIME audit details JSON</t>
  </si>
  <si>
    <t>TCPA-TC-096</t>
  </si>
  <si>
    <t>AdminReOptIn_ValidRequest_Returns200WithReOptInId</t>
  </si>
  <si>
    <t>AdminReOptIn</t>
  </si>
  <si>
    <t>STORY-015 AC-001 | SPEC-011</t>
  </si>
  <si>
    <t>tests\TCPA.Api.Tests\Controllers\AdminControllerTests.cs | tests\functional\journeys\AdminReOptInJourneyTests.cs</t>
  </si>
  <si>
    <t>Admin API key configured; phone number opted-out</t>
  </si>
  <si>
    <t>HTTP 200; reOptInId (UUID) present; status=opted-in; effectiveAt present</t>
  </si>
  <si>
    <t>1. POST /api/v1/admin/reopt-in with phoneNumber reason agentId and admin API key</t>
  </si>
  <si>
    <t>TCPA-TC-097</t>
  </si>
  <si>
    <t>AdminReOptIn_AuditRecordIncludesAgentIdAndReason</t>
  </si>
  <si>
    <t>STORY-015 AC-001 | SPEC-011 BR-036 BR-037</t>
  </si>
  <si>
    <t>tests\TCPA.Api.Tests\Controllers\AdminControllerTests.cs</t>
  </si>
  <si>
    <t>Admin API key; audit logging enabled</t>
  </si>
  <si>
    <t>Audit contains agentId reason effectiveAt</t>
  </si>
  <si>
    <t>1. POST re-opt-in with agentId=hdagent-jsmith and reason=Customer called</t>
  </si>
  <si>
    <t>2. Read RE_OPT_IN audit record</t>
  </si>
  <si>
    <t>TCPA-TC-098</t>
  </si>
  <si>
    <t>AdminReOptIn_AtomicWrite_BothStatusAndAuditPresent</t>
  </si>
  <si>
    <t>STORY-015 AC-001 | SPEC-011 BR-039</t>
  </si>
  <si>
    <t>Both records exist and linked by reOptInId</t>
  </si>
  <si>
    <t>1. Execute re-opt-in</t>
  </si>
  <si>
    <t>2. Query OptOutStatus and AuditLog</t>
  </si>
  <si>
    <t>TCPA-TC-099</t>
  </si>
  <si>
    <t>AdminReOptIn_NoExistingOptOut_SuccessWithAnomalyNote</t>
  </si>
  <si>
    <t>STORY-015 AC-002 | SPEC-011 BR-038</t>
  </si>
  <si>
    <t>Number has no prior opt-out record</t>
  </si>
  <si>
    <t>HTTP 200; status=opted-in; audit includes anomaly note</t>
  </si>
  <si>
    <t>1. POST re-opt-in for number with no prior opt-out</t>
  </si>
  <si>
    <t>TCPA-TC-100</t>
  </si>
  <si>
    <t>AdminReOptIn_RateLimitExceeded_Returns429</t>
  </si>
  <si>
    <t>STORY-015 AC-003 | SPEC-011 BR-035</t>
  </si>
  <si>
    <t>tests\TCPA.Api.Tests\RateLimiterConfigurationTests.cs</t>
  </si>
  <si>
    <t>11 requests sent within 60 seconds from same API key</t>
  </si>
  <si>
    <t>HTTP 429; Retry-After: 60 header; no status change on 11th</t>
  </si>
  <si>
    <t>1. Send 11 POST requests within one minute</t>
  </si>
  <si>
    <t>2. Check 11th response</t>
  </si>
  <si>
    <t>TCPA-TC-101</t>
  </si>
  <si>
    <t>AdminReOptIn_MissingPhoneNumber_Returns400</t>
  </si>
  <si>
    <t>STORY-015 AC-004 | SPEC-011</t>
  </si>
  <si>
    <t>Admin API key configured</t>
  </si>
  <si>
    <t>HTTP 400 with field-level error</t>
  </si>
  <si>
    <t>1. POST /api/v1/admin/reopt-in without phoneNumber</t>
  </si>
  <si>
    <t>TCPA-TC-102</t>
  </si>
  <si>
    <t>AdminReOptIn_MissingReason_Returns400</t>
  </si>
  <si>
    <t>STORY-015 AC-004 | SPEC-011 BR-036</t>
  </si>
  <si>
    <t>HTTP 400 identifying missing reason</t>
  </si>
  <si>
    <t>1. POST without reason field</t>
  </si>
  <si>
    <t>TCPA-TC-103</t>
  </si>
  <si>
    <t>AdminReOptIn_MissingAgentId_Returns400</t>
  </si>
  <si>
    <t>HTTP 400 identifying missing agentId</t>
  </si>
  <si>
    <t>1. POST without agentId</t>
  </si>
  <si>
    <t>TCPA-TC-104</t>
  </si>
  <si>
    <t>AdminReOptIn_InvalidApiKey_Returns401</t>
  </si>
  <si>
    <t>STORY-015 AC-005 | NFS-004</t>
  </si>
  <si>
    <t>1. POST /api/v1/admin/reopt-in with invalid API key</t>
  </si>
  <si>
    <t>TCPA-TC-105</t>
  </si>
  <si>
    <t>AdminReOptIn_AtomicWriteFailure_BothRolledBack_Returns500</t>
  </si>
  <si>
    <t>STORY-015 AC-006 | SPEC-011 BR-039</t>
  </si>
  <si>
    <t>Database fails on commit</t>
  </si>
  <si>
    <t>Both writes rolled back; HTTP 500; alert raised</t>
  </si>
  <si>
    <t>1. Trigger database failure during re-opt-in</t>
  </si>
  <si>
    <t>2. Check status store and response</t>
  </si>
  <si>
    <t>TCPA-TC-106</t>
  </si>
  <si>
    <t>AdminReOptIn_ContractValidation_ResponseFields</t>
  </si>
  <si>
    <t>SPEC-011 | ADR-007</t>
  </si>
  <si>
    <t>tests\functional\contracts\AdminApiContractTests.cs</t>
  </si>
  <si>
    <t>reOptInId (UUID) phoneNumber (E.164) status (string) effectiveAt (ISO 8601) all present</t>
  </si>
  <si>
    <t>1. POST valid re-opt-in</t>
  </si>
  <si>
    <t>2. Validate 200 response against OpenAPI spec</t>
  </si>
  <si>
    <t>TCPA-TC-107</t>
  </si>
  <si>
    <t>OptedInReport_GeneratedAndEmailedMonday0600Eastern</t>
  </si>
  <si>
    <t>OptedInReport</t>
  </si>
  <si>
    <t>STORY-016 AC-001 | SPEC-012 BR-041</t>
  </si>
  <si>
    <t>tests\TCPA.ReportService.Tests\UnitTest1.cs</t>
  </si>
  <si>
    <t>Scheduler running; Monday 06:00 Eastern; SMTP available</t>
  </si>
  <si>
    <t>Email sent to opted-in recipient list with reporting period and message counts</t>
  </si>
  <si>
    <t>1. Advance clock to Monday 06:00 Eastern</t>
  </si>
  <si>
    <t>2. Wait for scheduler trigger</t>
  </si>
  <si>
    <t>3. Check email delivery</t>
  </si>
  <si>
    <t>TCPA-TC-108</t>
  </si>
  <si>
    <t>OptedInReport_SuppressedMessagesExcludedFromCount</t>
  </si>
  <si>
    <t>STORY-016 AC-002 | SPEC-012 BR-040</t>
  </si>
  <si>
    <t>Known count of dispatched vs suppressed messages</t>
  </si>
  <si>
    <t>Total count is 500; suppressed messages excluded</t>
  </si>
  <si>
    <t>1. Generate report for week with 500 dispatched and 50 suppressed</t>
  </si>
  <si>
    <t>2. Check total</t>
  </si>
  <si>
    <t>TCPA-TC-109</t>
  </si>
  <si>
    <t>OptedInReport_ZeroMessagesInPeriod_ReportStillSent</t>
  </si>
  <si>
    <t>STORY-016 AC-004 | SPEC-012</t>
  </si>
  <si>
    <t>No messages dispatched during reporting week</t>
  </si>
  <si>
    <t>Email sent with total=0; not suppressed</t>
  </si>
  <si>
    <t>1. Trigger report for empty week</t>
  </si>
  <si>
    <t>TCPA-TC-110</t>
  </si>
  <si>
    <t>OptedInReport_EmailDeliveryFailure_LoggedAndAlerted</t>
  </si>
  <si>
    <t>STORY-016 AC-003 | SPEC-012 BR-042</t>
  </si>
  <si>
    <t>SMTP relay unavailable</t>
  </si>
  <si>
    <t>Failure logged; alert raised; report data retained</t>
  </si>
  <si>
    <t>1. Trigger report with SMTP unavailable</t>
  </si>
  <si>
    <t>TCPA-TC-111</t>
  </si>
  <si>
    <t>OptedInReport_BreakdownByApplicationAndDay</t>
  </si>
  <si>
    <t>STORY-016 AC-001 | SPEC-012</t>
  </si>
  <si>
    <t>Messages from multiple applications during week</t>
  </si>
  <si>
    <t>Report contains breakdown by application and breakdown by day</t>
  </si>
  <si>
    <t>1. Trigger report</t>
  </si>
  <si>
    <t>2. Inspect report contents</t>
  </si>
  <si>
    <t>TCPA-TC-112</t>
  </si>
  <si>
    <t>OptedOutReport_GeneratedWithSuppressionBreakdown</t>
  </si>
  <si>
    <t>OptedOutReport</t>
  </si>
  <si>
    <t>STORY-017 AC-001 | SPEC-013 BR-044</t>
  </si>
  <si>
    <t>Suppressions recorded; Monday 06:00 Eastern; SMTP available</t>
  </si>
  <si>
    <t>Breakdown shows queue-time vs send-time suppressions and race-condition edge cases</t>
  </si>
  <si>
    <t>1. Trigger opted-out report</t>
  </si>
  <si>
    <t>2. Inspect email</t>
  </si>
  <si>
    <t>TCPA-TC-113</t>
  </si>
  <si>
    <t>OptedOutReport_EachSuppressedMessageCountedOnce</t>
  </si>
  <si>
    <t>STORY-017 AC-002 | SPEC-013 BR-043</t>
  </si>
  <si>
    <t>Known suppression counts in test period</t>
  </si>
  <si>
    <t>Total=105; no message counted at both stages</t>
  </si>
  <si>
    <t>1. Generate report with 100 queue-time and 5 send-time suppressions</t>
  </si>
  <si>
    <t>TCPA-TC-114</t>
  </si>
  <si>
    <t>OptedOutReport_EmailDeliveryFailure_LoggedAndAlerted</t>
  </si>
  <si>
    <t>STORY-017 AC-003 | SPEC-013</t>
  </si>
  <si>
    <t>Failure logged and alerted; data retained</t>
  </si>
  <si>
    <t>1. Trigger opted-out report with SMTP unavailable</t>
  </si>
  <si>
    <t>TCPA-TC-115</t>
  </si>
  <si>
    <t>OptedOutReport_ReportingPeriodCoversCorrectWeek</t>
  </si>
  <si>
    <t>SPEC-013 BR-044</t>
  </si>
  <si>
    <t>Report run on a Monday</t>
  </si>
  <si>
    <t>Report period: 2026-07-20 (Mon) to 2026-07-26 (Sun)</t>
  </si>
  <si>
    <t>1. Trigger report on Monday 2026-07-27</t>
  </si>
  <si>
    <t>2. Verify period in report</t>
  </si>
  <si>
    <t>TCPA-TC-116</t>
  </si>
  <si>
    <t>ComplianceReport_GeneratedWithAllRequiredFields</t>
  </si>
  <si>
    <t>ComplianceReport</t>
  </si>
  <si>
    <t>STORY-018 AC-001 | SPEC-014 BR-047</t>
  </si>
  <si>
    <t>Reporting data available; Monday 06:00 Eastern; SMTP and recipient list configured</t>
  </si>
  <si>
    <t>Contains: STOP count confirmations within 60s SLA breaches cumulative opted-out suppressions dispatched suppression rate re-opt-ins alerts</t>
  </si>
  <si>
    <t>1. Trigger compliance report</t>
  </si>
  <si>
    <t>2. Inspect email body</t>
  </si>
  <si>
    <t>TCPA-TC-117</t>
  </si>
  <si>
    <t>ComplianceReport_Below100PercentSuppressionFlagged</t>
  </si>
  <si>
    <t>STORY-018 AC-002 | SPEC-014 BR-045 | NFS-002</t>
  </si>
  <si>
    <t>Non-race-condition message reached opted-out number</t>
  </si>
  <si>
    <t>Suppression rate flagged below 100%; incident identified in report body</t>
  </si>
  <si>
    <t>1. Generate compliance report</t>
  </si>
  <si>
    <t>2. Check suppression rate section</t>
  </si>
  <si>
    <t>TCPA-TC-118</t>
  </si>
  <si>
    <t>ComplianceReport_SLABreachesListedIndividually</t>
  </si>
  <si>
    <t>STORY-018 AC-003 | SPEC-014 BR-046</t>
  </si>
  <si>
    <t>Three confirmations breached 60s SLA during reporting week</t>
  </si>
  <si>
    <t>Each breach listed with phone number hash timestamp actual latency in seconds</t>
  </si>
  <si>
    <t>2. Check SLA breach section</t>
  </si>
  <si>
    <t>TCPA-TC-119</t>
  </si>
  <si>
    <t>ComplianceReport_EmailDeliveryFailure_HighSeverityAlert</t>
  </si>
  <si>
    <t>STORY-018 AC-004 | SPEC-014</t>
  </si>
  <si>
    <t>Alert raised at higher severity than volume report failure; immediately logged</t>
  </si>
  <si>
    <t>1. Trigger compliance report with SMTP unavailable</t>
  </si>
  <si>
    <t>TCPA-TC-120</t>
  </si>
  <si>
    <t>ComplianceReport_EmptyRecipientList_HaltedAndAlert</t>
  </si>
  <si>
    <t>STORY-018 AC-005 | SPEC-014 BR-048</t>
  </si>
  <si>
    <t>Compliance report recipient list empty in SystemConfig</t>
  </si>
  <si>
    <t>Job halts before sending; alert raised; misconfiguration logged</t>
  </si>
  <si>
    <t>1. Set reportRecipients.compliance to empty list</t>
  </si>
  <si>
    <t>2. Trigger report</t>
  </si>
  <si>
    <t>TCPA-TC-121</t>
  </si>
  <si>
    <t>ComplianceReport_RecipientListSeparateFromVolumeReports</t>
  </si>
  <si>
    <t>SPEC-014 BR-048</t>
  </si>
  <si>
    <t>Distinct email lists for each report type</t>
  </si>
  <si>
    <t>Each report delivered only to its own configured list</t>
  </si>
  <si>
    <t>1. Configure different lists for opted-in opted-out compliance</t>
  </si>
  <si>
    <t>2. Trigger all three reports</t>
  </si>
  <si>
    <t>TCPA-TC-122</t>
  </si>
  <si>
    <t>Security_AllEndpointsRejectUnauthenticatedRequests</t>
  </si>
  <si>
    <t>NFS-004 | SPEC-001 SPEC-006 SPEC-011</t>
  </si>
  <si>
    <t>All endpoints return HTTP 401; no business logic executed</t>
  </si>
  <si>
    <t>1. Send unauthenticated requests to /webhook/inbound /api/v1/messages/outbound /api/v1/admin/reopt-in</t>
  </si>
  <si>
    <t>TCPA-TC-123</t>
  </si>
  <si>
    <t>Security_SqlInjection_PhoneNumberField_Sanitized</t>
  </si>
  <si>
    <t>SPEC-001 SPEC-006 SPEC-011</t>
  </si>
  <si>
    <t>HTTP 400 or database unaffected; no SQL executed from input</t>
  </si>
  <si>
    <t>1. POST /webhook/inbound with from containing SQL injection payload</t>
  </si>
  <si>
    <t>2. Check response and database</t>
  </si>
  <si>
    <t>TCPA-TC-124</t>
  </si>
  <si>
    <t>Security_PhoneNumberNotExposedInProductionLogs</t>
  </si>
  <si>
    <t>SPEC-017 BR-057 | RISK-009</t>
  </si>
  <si>
    <t>Known phone +14045551234 processed; production logging active</t>
  </si>
  <si>
    <t>Literal +14045551234 absent from all production log lines</t>
  </si>
  <si>
    <t>2. Scan all production log output</t>
  </si>
  <si>
    <t>TCPA-TC-125</t>
  </si>
  <si>
    <t>Security_NoHardcodedCredentials_InSourceCode</t>
  </si>
  <si>
    <t>RISK-007</t>
  </si>
  <si>
    <t>Source code checked out</t>
  </si>
  <si>
    <t>No API keys passwords or connection string credentials hardcoded; all reference Key Vault or env vars</t>
  </si>
  <si>
    <t>1. Run secret scanning over all source files</t>
  </si>
  <si>
    <t>2. Review appsettings.json for credentials</t>
  </si>
  <si>
    <t>TCPA-TC-126</t>
  </si>
  <si>
    <t>Security_StandardKeyRejectedOnAdminEndpoint</t>
  </si>
  <si>
    <t>RISK-008 | SPEC-011</t>
  </si>
  <si>
    <t>Standard Gas application API key available</t>
  </si>
  <si>
    <t>HTTP 401 or 403; admin endpoint rejects standard-scoped key</t>
  </si>
  <si>
    <t>1. POST /api/v1/admin/reopt-in with standard (non-admin) key</t>
  </si>
  <si>
    <t>TCPA-TC-127</t>
  </si>
  <si>
    <t>Security_OversizedPhoneNumberInput_HandledGracefully</t>
  </si>
  <si>
    <t>SPEC-011</t>
  </si>
  <si>
    <t>HTTP 400; no unhandled exception; no system detail in error response</t>
  </si>
  <si>
    <t>1. POST /api/v1/admin/reopt-in with phoneNumber field of 500 characters</t>
  </si>
  <si>
    <t>TCPA-TC-128</t>
  </si>
  <si>
    <t>Security_PiiNotExposedInApiErrorResponses</t>
  </si>
  <si>
    <t>RISK-009 | SPEC-017</t>
  </si>
  <si>
    <t>No raw phone numbers stack traces or internal paths in error responses</t>
  </si>
  <si>
    <t>1. Trigger various error conditions</t>
  </si>
  <si>
    <t>2. Inspect error response bodies</t>
  </si>
  <si>
    <t>TCPA-TC-129</t>
  </si>
  <si>
    <t>Security_ApiKeyRevocationBlocksAccess</t>
  </si>
  <si>
    <t>RISK-005</t>
  </si>
  <si>
    <t>Auth service accessible</t>
  </si>
  <si>
    <t>HTTP 401 returned immediately; no grace period</t>
  </si>
  <si>
    <t>1. Issue test API key</t>
  </si>
  <si>
    <t>2. Revoke it via auth service</t>
  </si>
  <si>
    <t>3. Use revoked key on /webhook/inbound</t>
  </si>
  <si>
    <t>TCPA-TC-130</t>
  </si>
  <si>
    <t>NFR_ConfirmationLatencyP99_Under60SecondsAtBurstLoad</t>
  </si>
  <si>
    <t>NFS-001 | NFR-001 | RISK-004</t>
  </si>
  <si>
    <t>Load testing environment; MessageProcessor running with multiple instances; monitoring enabled</t>
  </si>
  <si>
    <t>P99 confirmation latency &lt;= 60 seconds throughout</t>
  </si>
  <si>
    <t>1. Inject 5000 STOP events over one hour</t>
  </si>
  <si>
    <t>2. Measure P99 latency per event</t>
  </si>
  <si>
    <t>3. Calculate overall P99</t>
  </si>
  <si>
    <t>TCPA-TC-131</t>
  </si>
  <si>
    <t>NFR_ZeroDeliveryToOptedOutNumbers_WeeklyReport</t>
  </si>
  <si>
    <t>NFS-002 | NFR-004</t>
  </si>
  <si>
    <t>System running for one week; opted-out numbers known</t>
  </si>
  <si>
    <t>Suppression rate = 100%; 0 non-race-condition deliveries to opted-out numbers</t>
  </si>
  <si>
    <t>1. Review weekly compliance report suppression rate</t>
  </si>
  <si>
    <t>TCPA-TC-132</t>
  </si>
  <si>
    <t>NFR_SystemHandles5000MsgPerHour_NoLatencyDegradation</t>
  </si>
  <si>
    <t>NFS-005 | NFR-008</t>
  </si>
  <si>
    <t>Load testing environment; full stack deployed</t>
  </si>
  <si>
    <t>Zero message loss; zero duplicates; P99 &lt;= 60 seconds throughout</t>
  </si>
  <si>
    <t>1. Run load test at 5000 messages/hour for 15 minutes</t>
  </si>
  <si>
    <t>2. Monitor confirmation latency P99</t>
  </si>
  <si>
    <t>TCPA-TC-133</t>
  </si>
  <si>
    <t>NFR_StatusReadLatency_Under100msP99_AtPeakLoad</t>
  </si>
  <si>
    <t>NFS-005 | SPEC-007 BR-023</t>
  </si>
  <si>
    <t>Status store with 100000 records; concurrent read test</t>
  </si>
  <si>
    <t>P99 status read &lt;= 100ms</t>
  </si>
  <si>
    <t>1. Issue 5000 concurrent status reads</t>
  </si>
  <si>
    <t>2. Record P99</t>
  </si>
  <si>
    <t>TCPA-TC-134</t>
  </si>
  <si>
    <t>NFR_AuditLogQueryPerformance_5YearOldData</t>
  </si>
  <si>
    <t>NFS-003 | NFR-003</t>
  </si>
  <si>
    <t>5-year-old audit records in database</t>
  </si>
  <si>
    <t>Query returns within 30 seconds</t>
  </si>
  <si>
    <t>1. Query audit log for date range starting 5 years ago</t>
  </si>
  <si>
    <t>TCPA-TC-135</t>
  </si>
  <si>
    <t>NFR_ProductionDeploymentDateBeforeJan312027</t>
  </si>
  <si>
    <t>NFS-006 | CON-001</t>
  </si>
  <si>
    <t>Project plan and compliance team available</t>
  </si>
  <si>
    <t>Go-live confirmed before January 31 2027; compliance sign-off recorded</t>
  </si>
  <si>
    <t>1. Verify planned go-live in project plan</t>
  </si>
  <si>
    <t>2. Confirm compliance team sign-off</t>
  </si>
  <si>
    <t>TCPA-TC-136</t>
  </si>
  <si>
    <t>E2E_GlobalOptOutScope_StopFromOneAppBlocksAllApps</t>
  </si>
  <si>
    <t>E2E</t>
  </si>
  <si>
    <t>STORY-001 STORY-007 STORY-008 STORY-011 | SPEC-007 | RISK-003</t>
  </si>
  <si>
    <t>tests\functional\integration\GlobalOptOutScopeIntegrationTests.cs</t>
  </si>
  <si>
    <t>All four Gas app accounts registered; status store empty for test number</t>
  </si>
  <si>
    <t>All three outbound messages suppressed; global opt-out enforced across all applications</t>
  </si>
  <si>
    <t>1. Simulate STOP keyword from number X to BizTalk account</t>
  </si>
  <si>
    <t>2. Process opt-out</t>
  </si>
  <si>
    <t>3. Submit outbound for X from GCMA KMI and ARM accounts</t>
  </si>
  <si>
    <t>TCPA-TC-137</t>
  </si>
  <si>
    <t>E2E_FullOptOutJourney_StopToConfirmation</t>
  </si>
  <si>
    <t>STORY-006 STORY-007 STORY-008 STORY-009</t>
  </si>
  <si>
    <t>API stack running with mocked Cool Text client</t>
  </si>
  <si>
    <t>Status=opted-out in store; OPT_OUT_WRITTEN audit; CONFIRMATION_DISPATCHED audit; SMS dispatched within 60 seconds</t>
  </si>
  <si>
    <t>1. POST STOP to /webhook/inbound</t>
  </si>
  <si>
    <t>2. Allow async processing</t>
  </si>
  <si>
    <t>3. Verify status audit confirmation dispatch</t>
  </si>
  <si>
    <t>TCPA-TC-138</t>
  </si>
  <si>
    <t>E2E_AdminReOptInRestoresOutboundAccess</t>
  </si>
  <si>
    <t>STORY-015 STORY-011 STORY-013</t>
  </si>
  <si>
    <t>tests\functional\journeys\AdminReOptInJourneyTests.cs</t>
  </si>
  <si>
    <t>Phone opted-out; admin API key available</t>
  </si>
  <si>
    <t>After re-opt-in outbound proceeds with status=queued</t>
  </si>
  <si>
    <t>1. Verify outbound for opted-out number returns suppressed</t>
  </si>
  <si>
    <t>2. POST admin re-opt-in</t>
  </si>
  <si>
    <t>3. Submit outbound again</t>
  </si>
  <si>
    <t>TCPA-TC-139</t>
  </si>
  <si>
    <t>E2E_OutboundComplianceJourney_QueueAndSendTimeChecks</t>
  </si>
  <si>
    <t>STORY-011 STORY-013 STORY-014</t>
  </si>
  <si>
    <t>tests\functional\journeys\OutboundSmsComplianceJourneyTests.cs</t>
  </si>
  <si>
    <t>Opted-in number; full stack with mocked Cool Text</t>
  </si>
  <si>
    <t>Message dispatched; both checks pass; dispatch audit written</t>
  </si>
  <si>
    <t>1. Submit outbound for opted-in number</t>
  </si>
  <si>
    <t>2. Verify queue-time check passes</t>
  </si>
  <si>
    <t>3. Verify send-time check passes</t>
  </si>
  <si>
    <t>4. Verify Cool Text dispatch</t>
  </si>
  <si>
    <t>TCPA-TC-140</t>
  </si>
  <si>
    <t>E2E_SmokeTest_AllCriticalPathsPass</t>
  </si>
  <si>
    <t>All critical ACs | STORY-006 STORY-011 STORY-012 STORY-015</t>
  </si>
  <si>
    <t>tests\functional\smoke\TcpaApiSmokeTests.cs</t>
  </si>
  <si>
    <t>Production or staging deployed</t>
  </si>
  <si>
    <t>All smoke tests pass within 2 minutes; no critical path failures</t>
  </si>
  <si>
    <t>1. Run smoke test suite (GET /api/v1/health POST /webhook/inbound POST /api/v1/messages/outbound)</t>
  </si>
  <si>
    <t>2. Validate responses</t>
  </si>
  <si>
    <t>By Module</t>
  </si>
  <si>
    <t>Count</t>
  </si>
  <si>
    <t>Automated %</t>
  </si>
  <si>
    <t>TOTAL</t>
  </si>
  <si>
    <t>By Priority</t>
  </si>
  <si>
    <t>Low</t>
  </si>
  <si>
    <t>By Scenario Type</t>
  </si>
  <si>
    <t>Automation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</si>
</sst>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46D2E"/>
        <bgColor indexed="64"/>
      </patternFill>
    </fill>
    <fill>
      <patternFill patternType="solid">
        <fgColor rgb="FFC472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A082-FCB9-41EC-84E0-8E803D03EE77}">
  <dimension ref="A1:L264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1.6328125" bestFit="1" customWidth="1"/>
    <col min="2" max="2" width="59.453125" bestFit="1" customWidth="1"/>
    <col min="3" max="3" width="20.6328125" bestFit="1" customWidth="1"/>
    <col min="4" max="4" width="57.36328125" bestFit="1" customWidth="1"/>
    <col min="5" max="5" width="7.26953125" bestFit="1" customWidth="1"/>
    <col min="6" max="6" width="16.7265625" bestFit="1" customWidth="1"/>
    <col min="7" max="7" width="12.453125" bestFit="1" customWidth="1"/>
    <col min="8" max="9" width="60.6328125" customWidth="1"/>
    <col min="10" max="10" width="6" bestFit="1" customWidth="1"/>
    <col min="11" max="12" width="60.6328125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f>1</f>
        <v>1</v>
      </c>
      <c r="K2" t="s">
        <v>22</v>
      </c>
      <c r="L2" t="s">
        <v>21</v>
      </c>
    </row>
    <row r="3" spans="1:12" x14ac:dyDescent="0.35">
      <c r="J3">
        <f>2</f>
        <v>2</v>
      </c>
      <c r="K3" t="s">
        <v>23</v>
      </c>
    </row>
    <row r="4" spans="1:12" x14ac:dyDescent="0.35">
      <c r="A4" t="s">
        <v>24</v>
      </c>
      <c r="B4" t="s">
        <v>25</v>
      </c>
      <c r="C4" t="s">
        <v>14</v>
      </c>
      <c r="D4" t="s">
        <v>26</v>
      </c>
      <c r="E4" t="s">
        <v>16</v>
      </c>
      <c r="F4" t="s">
        <v>17</v>
      </c>
      <c r="G4" t="s">
        <v>18</v>
      </c>
      <c r="H4" t="s">
        <v>19</v>
      </c>
      <c r="I4" t="s">
        <v>27</v>
      </c>
      <c r="J4">
        <f>1</f>
        <v>1</v>
      </c>
      <c r="K4" t="s">
        <v>29</v>
      </c>
      <c r="L4" t="s">
        <v>28</v>
      </c>
    </row>
    <row r="5" spans="1:12" x14ac:dyDescent="0.35">
      <c r="J5">
        <f>2</f>
        <v>2</v>
      </c>
      <c r="K5" t="s">
        <v>30</v>
      </c>
    </row>
    <row r="6" spans="1:12" x14ac:dyDescent="0.35">
      <c r="A6" t="s">
        <v>31</v>
      </c>
      <c r="B6" t="s">
        <v>32</v>
      </c>
      <c r="C6" t="s">
        <v>14</v>
      </c>
      <c r="D6" t="s">
        <v>33</v>
      </c>
      <c r="E6" t="s">
        <v>34</v>
      </c>
      <c r="F6" t="s">
        <v>17</v>
      </c>
      <c r="G6" t="s">
        <v>35</v>
      </c>
      <c r="H6" t="s">
        <v>19</v>
      </c>
      <c r="I6" t="s">
        <v>36</v>
      </c>
      <c r="J6">
        <f>1</f>
        <v>1</v>
      </c>
      <c r="K6" t="s">
        <v>38</v>
      </c>
      <c r="L6" t="s">
        <v>37</v>
      </c>
    </row>
    <row r="7" spans="1:12" x14ac:dyDescent="0.35">
      <c r="J7">
        <f>2</f>
        <v>2</v>
      </c>
      <c r="K7" t="s">
        <v>39</v>
      </c>
    </row>
    <row r="8" spans="1:12" x14ac:dyDescent="0.35">
      <c r="J8">
        <f>3</f>
        <v>3</v>
      </c>
      <c r="K8" t="s">
        <v>40</v>
      </c>
    </row>
    <row r="9" spans="1:12" x14ac:dyDescent="0.35">
      <c r="A9" t="s">
        <v>41</v>
      </c>
      <c r="B9" t="s">
        <v>42</v>
      </c>
      <c r="C9" t="s">
        <v>14</v>
      </c>
      <c r="D9" t="s">
        <v>43</v>
      </c>
      <c r="E9" t="s">
        <v>34</v>
      </c>
      <c r="F9" t="s">
        <v>44</v>
      </c>
      <c r="G9" t="s">
        <v>45</v>
      </c>
      <c r="H9" t="s">
        <v>19</v>
      </c>
      <c r="I9" t="s">
        <v>46</v>
      </c>
      <c r="J9">
        <f>1</f>
        <v>1</v>
      </c>
      <c r="K9" t="s">
        <v>48</v>
      </c>
      <c r="L9" t="s">
        <v>47</v>
      </c>
    </row>
    <row r="10" spans="1:12" x14ac:dyDescent="0.35">
      <c r="J10">
        <f>2</f>
        <v>2</v>
      </c>
      <c r="K10" t="s">
        <v>49</v>
      </c>
    </row>
    <row r="11" spans="1:12" x14ac:dyDescent="0.35">
      <c r="J11">
        <f>3</f>
        <v>3</v>
      </c>
      <c r="K11" t="s">
        <v>50</v>
      </c>
    </row>
    <row r="12" spans="1:12" x14ac:dyDescent="0.35">
      <c r="A12" t="s">
        <v>51</v>
      </c>
      <c r="B12" t="s">
        <v>52</v>
      </c>
      <c r="C12" t="s">
        <v>14</v>
      </c>
      <c r="D12" t="s">
        <v>53</v>
      </c>
      <c r="E12" t="s">
        <v>34</v>
      </c>
      <c r="F12" t="s">
        <v>17</v>
      </c>
      <c r="G12" t="s">
        <v>18</v>
      </c>
      <c r="H12" t="s">
        <v>19</v>
      </c>
      <c r="I12" t="s">
        <v>54</v>
      </c>
      <c r="J12">
        <f>1</f>
        <v>1</v>
      </c>
      <c r="K12" t="s">
        <v>56</v>
      </c>
      <c r="L12" t="s">
        <v>55</v>
      </c>
    </row>
    <row r="13" spans="1:12" x14ac:dyDescent="0.35">
      <c r="J13">
        <f>2</f>
        <v>2</v>
      </c>
      <c r="K13" t="s">
        <v>57</v>
      </c>
    </row>
    <row r="14" spans="1:12" x14ac:dyDescent="0.35">
      <c r="A14" t="s">
        <v>58</v>
      </c>
      <c r="B14" t="s">
        <v>59</v>
      </c>
      <c r="C14" t="s">
        <v>14</v>
      </c>
      <c r="D14" t="s">
        <v>60</v>
      </c>
      <c r="E14" t="s">
        <v>34</v>
      </c>
      <c r="F14" t="s">
        <v>17</v>
      </c>
      <c r="G14" t="s">
        <v>18</v>
      </c>
      <c r="H14" t="s">
        <v>19</v>
      </c>
      <c r="I14" t="s">
        <v>61</v>
      </c>
      <c r="J14">
        <f>1</f>
        <v>1</v>
      </c>
      <c r="K14" t="s">
        <v>63</v>
      </c>
      <c r="L14" t="s">
        <v>62</v>
      </c>
    </row>
    <row r="15" spans="1:12" x14ac:dyDescent="0.35">
      <c r="J15">
        <f>2</f>
        <v>2</v>
      </c>
      <c r="K15" t="s">
        <v>64</v>
      </c>
    </row>
    <row r="16" spans="1:12" x14ac:dyDescent="0.35">
      <c r="J16">
        <f>3</f>
        <v>3</v>
      </c>
      <c r="K16" t="s">
        <v>65</v>
      </c>
    </row>
    <row r="17" spans="1:12" x14ac:dyDescent="0.35">
      <c r="J17">
        <f>4</f>
        <v>4</v>
      </c>
      <c r="K17" t="s">
        <v>66</v>
      </c>
    </row>
    <row r="18" spans="1:12" x14ac:dyDescent="0.35">
      <c r="A18" t="s">
        <v>67</v>
      </c>
      <c r="B18" t="s">
        <v>68</v>
      </c>
      <c r="C18" t="s">
        <v>14</v>
      </c>
      <c r="D18" t="s">
        <v>69</v>
      </c>
      <c r="E18" t="s">
        <v>34</v>
      </c>
      <c r="F18" t="s">
        <v>17</v>
      </c>
      <c r="G18" t="s">
        <v>35</v>
      </c>
      <c r="H18" t="s">
        <v>70</v>
      </c>
      <c r="I18" t="s">
        <v>71</v>
      </c>
      <c r="J18">
        <f>1</f>
        <v>1</v>
      </c>
      <c r="K18" t="s">
        <v>73</v>
      </c>
      <c r="L18" t="s">
        <v>72</v>
      </c>
    </row>
    <row r="19" spans="1:12" x14ac:dyDescent="0.35">
      <c r="J19">
        <f>2</f>
        <v>2</v>
      </c>
      <c r="K19" t="s">
        <v>74</v>
      </c>
    </row>
    <row r="20" spans="1:12" x14ac:dyDescent="0.35">
      <c r="A20" t="s">
        <v>75</v>
      </c>
      <c r="B20" t="s">
        <v>76</v>
      </c>
      <c r="C20" t="s">
        <v>77</v>
      </c>
      <c r="D20" t="s">
        <v>78</v>
      </c>
      <c r="E20" t="s">
        <v>16</v>
      </c>
      <c r="F20" t="s">
        <v>17</v>
      </c>
      <c r="G20" t="s">
        <v>18</v>
      </c>
      <c r="H20" t="s">
        <v>79</v>
      </c>
      <c r="I20" t="s">
        <v>61</v>
      </c>
      <c r="J20">
        <f>1</f>
        <v>1</v>
      </c>
      <c r="K20" t="s">
        <v>81</v>
      </c>
      <c r="L20" t="s">
        <v>80</v>
      </c>
    </row>
    <row r="21" spans="1:12" x14ac:dyDescent="0.35">
      <c r="J21">
        <f>2</f>
        <v>2</v>
      </c>
      <c r="K21" t="s">
        <v>82</v>
      </c>
    </row>
    <row r="22" spans="1:12" x14ac:dyDescent="0.35">
      <c r="A22" t="s">
        <v>83</v>
      </c>
      <c r="B22" t="s">
        <v>84</v>
      </c>
      <c r="C22" t="s">
        <v>77</v>
      </c>
      <c r="D22" t="s">
        <v>85</v>
      </c>
      <c r="E22" t="s">
        <v>16</v>
      </c>
      <c r="F22" t="s">
        <v>17</v>
      </c>
      <c r="G22" t="s">
        <v>18</v>
      </c>
      <c r="H22" t="s">
        <v>79</v>
      </c>
      <c r="I22" t="s">
        <v>86</v>
      </c>
      <c r="J22">
        <f>1</f>
        <v>1</v>
      </c>
      <c r="K22" t="s">
        <v>88</v>
      </c>
      <c r="L22" t="s">
        <v>87</v>
      </c>
    </row>
    <row r="23" spans="1:12" x14ac:dyDescent="0.35">
      <c r="J23">
        <f>2</f>
        <v>2</v>
      </c>
      <c r="K23" t="s">
        <v>89</v>
      </c>
    </row>
    <row r="24" spans="1:12" x14ac:dyDescent="0.35">
      <c r="A24" t="s">
        <v>90</v>
      </c>
      <c r="B24" t="s">
        <v>91</v>
      </c>
      <c r="C24" t="s">
        <v>77</v>
      </c>
      <c r="D24" t="s">
        <v>92</v>
      </c>
      <c r="E24" t="s">
        <v>16</v>
      </c>
      <c r="F24" t="s">
        <v>17</v>
      </c>
      <c r="G24" t="s">
        <v>93</v>
      </c>
      <c r="H24" t="s">
        <v>79</v>
      </c>
      <c r="I24" t="s">
        <v>94</v>
      </c>
      <c r="J24">
        <f>1</f>
        <v>1</v>
      </c>
      <c r="K24" t="s">
        <v>96</v>
      </c>
      <c r="L24" t="s">
        <v>95</v>
      </c>
    </row>
    <row r="25" spans="1:12" x14ac:dyDescent="0.35">
      <c r="J25">
        <f>2</f>
        <v>2</v>
      </c>
      <c r="K25" t="s">
        <v>97</v>
      </c>
    </row>
    <row r="26" spans="1:12" x14ac:dyDescent="0.35">
      <c r="A26" t="s">
        <v>98</v>
      </c>
      <c r="B26" t="s">
        <v>99</v>
      </c>
      <c r="C26" t="s">
        <v>77</v>
      </c>
      <c r="D26" t="s">
        <v>100</v>
      </c>
      <c r="E26" t="s">
        <v>34</v>
      </c>
      <c r="F26" t="s">
        <v>101</v>
      </c>
      <c r="G26" t="s">
        <v>45</v>
      </c>
      <c r="H26" t="s">
        <v>102</v>
      </c>
      <c r="I26" t="s">
        <v>103</v>
      </c>
      <c r="J26">
        <f>1</f>
        <v>1</v>
      </c>
      <c r="K26" t="s">
        <v>105</v>
      </c>
      <c r="L26" t="s">
        <v>104</v>
      </c>
    </row>
    <row r="27" spans="1:12" x14ac:dyDescent="0.35">
      <c r="J27">
        <f>2</f>
        <v>2</v>
      </c>
      <c r="K27" t="s">
        <v>106</v>
      </c>
    </row>
    <row r="28" spans="1:12" x14ac:dyDescent="0.35">
      <c r="A28" t="s">
        <v>107</v>
      </c>
      <c r="B28" t="s">
        <v>108</v>
      </c>
      <c r="C28" t="s">
        <v>77</v>
      </c>
      <c r="D28" t="s">
        <v>109</v>
      </c>
      <c r="E28" t="s">
        <v>16</v>
      </c>
      <c r="F28" t="s">
        <v>17</v>
      </c>
      <c r="G28" t="s">
        <v>93</v>
      </c>
      <c r="H28" t="s">
        <v>79</v>
      </c>
      <c r="I28" t="s">
        <v>110</v>
      </c>
      <c r="J28">
        <f>1</f>
        <v>1</v>
      </c>
      <c r="K28" t="s">
        <v>112</v>
      </c>
      <c r="L28" t="s">
        <v>111</v>
      </c>
    </row>
    <row r="29" spans="1:12" x14ac:dyDescent="0.35">
      <c r="A29" t="s">
        <v>113</v>
      </c>
      <c r="B29" t="s">
        <v>114</v>
      </c>
      <c r="C29" t="s">
        <v>77</v>
      </c>
      <c r="D29" t="s">
        <v>109</v>
      </c>
      <c r="E29" t="s">
        <v>16</v>
      </c>
      <c r="F29" t="s">
        <v>17</v>
      </c>
      <c r="G29" t="s">
        <v>93</v>
      </c>
      <c r="H29" t="s">
        <v>79</v>
      </c>
      <c r="I29" t="s">
        <v>110</v>
      </c>
      <c r="J29">
        <f>1</f>
        <v>1</v>
      </c>
      <c r="K29" t="s">
        <v>116</v>
      </c>
      <c r="L29" t="s">
        <v>115</v>
      </c>
    </row>
    <row r="30" spans="1:12" x14ac:dyDescent="0.35">
      <c r="A30" t="s">
        <v>117</v>
      </c>
      <c r="B30" t="s">
        <v>118</v>
      </c>
      <c r="C30" t="s">
        <v>77</v>
      </c>
      <c r="D30" t="s">
        <v>119</v>
      </c>
      <c r="E30" t="s">
        <v>16</v>
      </c>
      <c r="F30" t="s">
        <v>17</v>
      </c>
      <c r="G30" t="s">
        <v>18</v>
      </c>
      <c r="H30" t="s">
        <v>79</v>
      </c>
      <c r="I30" t="s">
        <v>61</v>
      </c>
      <c r="J30">
        <f>1</f>
        <v>1</v>
      </c>
      <c r="K30" t="s">
        <v>121</v>
      </c>
      <c r="L30" t="s">
        <v>120</v>
      </c>
    </row>
    <row r="31" spans="1:12" x14ac:dyDescent="0.35">
      <c r="J31">
        <f>2</f>
        <v>2</v>
      </c>
      <c r="K31" t="s">
        <v>122</v>
      </c>
    </row>
    <row r="32" spans="1:12" x14ac:dyDescent="0.35">
      <c r="A32" t="s">
        <v>123</v>
      </c>
      <c r="B32" t="s">
        <v>124</v>
      </c>
      <c r="C32" t="s">
        <v>77</v>
      </c>
      <c r="D32" t="s">
        <v>125</v>
      </c>
      <c r="E32" t="s">
        <v>34</v>
      </c>
      <c r="F32" t="s">
        <v>17</v>
      </c>
      <c r="G32" t="s">
        <v>18</v>
      </c>
      <c r="H32" t="s">
        <v>79</v>
      </c>
      <c r="I32" t="s">
        <v>126</v>
      </c>
      <c r="J32">
        <f>1</f>
        <v>1</v>
      </c>
      <c r="K32" t="s">
        <v>128</v>
      </c>
      <c r="L32" t="s">
        <v>127</v>
      </c>
    </row>
    <row r="33" spans="1:12" x14ac:dyDescent="0.35">
      <c r="J33">
        <f>2</f>
        <v>2</v>
      </c>
      <c r="K33" t="s">
        <v>129</v>
      </c>
    </row>
    <row r="34" spans="1:12" x14ac:dyDescent="0.35">
      <c r="A34" t="s">
        <v>130</v>
      </c>
      <c r="B34" t="s">
        <v>131</v>
      </c>
      <c r="C34" t="s">
        <v>132</v>
      </c>
      <c r="D34" t="s">
        <v>133</v>
      </c>
      <c r="E34" t="s">
        <v>16</v>
      </c>
      <c r="F34" t="s">
        <v>17</v>
      </c>
      <c r="G34" t="s">
        <v>18</v>
      </c>
      <c r="H34" t="s">
        <v>134</v>
      </c>
      <c r="I34" t="s">
        <v>135</v>
      </c>
      <c r="J34">
        <f>1</f>
        <v>1</v>
      </c>
      <c r="K34" t="s">
        <v>137</v>
      </c>
      <c r="L34" t="s">
        <v>136</v>
      </c>
    </row>
    <row r="35" spans="1:12" x14ac:dyDescent="0.35">
      <c r="J35">
        <f>2</f>
        <v>2</v>
      </c>
      <c r="K35" t="s">
        <v>138</v>
      </c>
    </row>
    <row r="36" spans="1:12" x14ac:dyDescent="0.35">
      <c r="A36" t="s">
        <v>139</v>
      </c>
      <c r="B36" t="s">
        <v>140</v>
      </c>
      <c r="C36" t="s">
        <v>132</v>
      </c>
      <c r="D36" t="s">
        <v>141</v>
      </c>
      <c r="E36" t="s">
        <v>34</v>
      </c>
      <c r="F36" t="s">
        <v>17</v>
      </c>
      <c r="G36" t="s">
        <v>93</v>
      </c>
      <c r="H36" t="s">
        <v>134</v>
      </c>
      <c r="I36" t="s">
        <v>142</v>
      </c>
      <c r="J36">
        <f>1</f>
        <v>1</v>
      </c>
      <c r="K36" t="s">
        <v>144</v>
      </c>
      <c r="L36" t="s">
        <v>143</v>
      </c>
    </row>
    <row r="37" spans="1:12" x14ac:dyDescent="0.35">
      <c r="A37" t="s">
        <v>145</v>
      </c>
      <c r="B37" t="s">
        <v>146</v>
      </c>
      <c r="C37" t="s">
        <v>132</v>
      </c>
      <c r="D37" t="s">
        <v>147</v>
      </c>
      <c r="E37" t="s">
        <v>16</v>
      </c>
      <c r="F37" t="s">
        <v>17</v>
      </c>
      <c r="G37" t="s">
        <v>93</v>
      </c>
      <c r="H37" t="s">
        <v>148</v>
      </c>
      <c r="I37" t="s">
        <v>149</v>
      </c>
      <c r="J37">
        <f>1</f>
        <v>1</v>
      </c>
      <c r="K37" t="s">
        <v>151</v>
      </c>
      <c r="L37" t="s">
        <v>150</v>
      </c>
    </row>
    <row r="38" spans="1:12" x14ac:dyDescent="0.35">
      <c r="A38" t="s">
        <v>152</v>
      </c>
      <c r="B38" t="s">
        <v>153</v>
      </c>
      <c r="C38" t="s">
        <v>132</v>
      </c>
      <c r="D38" t="s">
        <v>154</v>
      </c>
      <c r="E38" t="s">
        <v>34</v>
      </c>
      <c r="F38" t="s">
        <v>17</v>
      </c>
      <c r="G38" t="s">
        <v>18</v>
      </c>
      <c r="H38" t="s">
        <v>134</v>
      </c>
      <c r="I38" t="s">
        <v>155</v>
      </c>
      <c r="J38">
        <f>1</f>
        <v>1</v>
      </c>
      <c r="K38" t="s">
        <v>157</v>
      </c>
      <c r="L38" t="s">
        <v>156</v>
      </c>
    </row>
    <row r="39" spans="1:12" x14ac:dyDescent="0.35">
      <c r="J39">
        <f>2</f>
        <v>2</v>
      </c>
      <c r="K39" t="s">
        <v>158</v>
      </c>
    </row>
    <row r="40" spans="1:12" x14ac:dyDescent="0.35">
      <c r="A40" t="s">
        <v>159</v>
      </c>
      <c r="B40" t="s">
        <v>160</v>
      </c>
      <c r="C40" t="s">
        <v>132</v>
      </c>
      <c r="D40" t="s">
        <v>161</v>
      </c>
      <c r="E40" t="s">
        <v>16</v>
      </c>
      <c r="F40" t="s">
        <v>17</v>
      </c>
      <c r="G40" t="s">
        <v>93</v>
      </c>
      <c r="H40" t="s">
        <v>148</v>
      </c>
      <c r="I40" t="s">
        <v>162</v>
      </c>
      <c r="J40">
        <f>1</f>
        <v>1</v>
      </c>
      <c r="K40" t="s">
        <v>164</v>
      </c>
      <c r="L40" t="s">
        <v>163</v>
      </c>
    </row>
    <row r="41" spans="1:12" x14ac:dyDescent="0.35">
      <c r="A41" t="s">
        <v>165</v>
      </c>
      <c r="B41" t="s">
        <v>166</v>
      </c>
      <c r="C41" t="s">
        <v>132</v>
      </c>
      <c r="D41" t="s">
        <v>167</v>
      </c>
      <c r="E41" t="s">
        <v>34</v>
      </c>
      <c r="F41" t="s">
        <v>17</v>
      </c>
      <c r="G41" t="s">
        <v>18</v>
      </c>
      <c r="H41" t="s">
        <v>134</v>
      </c>
      <c r="I41" t="s">
        <v>168</v>
      </c>
      <c r="J41">
        <f>1</f>
        <v>1</v>
      </c>
      <c r="K41" t="s">
        <v>170</v>
      </c>
      <c r="L41" t="s">
        <v>169</v>
      </c>
    </row>
    <row r="42" spans="1:12" x14ac:dyDescent="0.35">
      <c r="A42" t="s">
        <v>171</v>
      </c>
      <c r="B42" t="s">
        <v>172</v>
      </c>
      <c r="C42" t="s">
        <v>132</v>
      </c>
      <c r="D42" t="s">
        <v>167</v>
      </c>
      <c r="E42" t="s">
        <v>34</v>
      </c>
      <c r="F42" t="s">
        <v>17</v>
      </c>
      <c r="G42" t="s">
        <v>18</v>
      </c>
      <c r="H42" t="s">
        <v>134</v>
      </c>
      <c r="I42" t="s">
        <v>173</v>
      </c>
      <c r="J42">
        <f>1</f>
        <v>1</v>
      </c>
      <c r="K42" t="s">
        <v>175</v>
      </c>
      <c r="L42" t="s">
        <v>174</v>
      </c>
    </row>
    <row r="43" spans="1:12" x14ac:dyDescent="0.35">
      <c r="A43" t="s">
        <v>176</v>
      </c>
      <c r="B43" t="s">
        <v>177</v>
      </c>
      <c r="C43" t="s">
        <v>178</v>
      </c>
      <c r="D43" t="s">
        <v>179</v>
      </c>
      <c r="E43" t="s">
        <v>16</v>
      </c>
      <c r="F43" t="s">
        <v>17</v>
      </c>
      <c r="G43" t="s">
        <v>18</v>
      </c>
      <c r="H43" t="s">
        <v>180</v>
      </c>
      <c r="I43" t="s">
        <v>181</v>
      </c>
      <c r="J43">
        <f>1</f>
        <v>1</v>
      </c>
      <c r="K43" t="s">
        <v>183</v>
      </c>
      <c r="L43" t="s">
        <v>182</v>
      </c>
    </row>
    <row r="44" spans="1:12" x14ac:dyDescent="0.35">
      <c r="A44" t="s">
        <v>184</v>
      </c>
      <c r="B44" t="s">
        <v>185</v>
      </c>
      <c r="C44" t="s">
        <v>178</v>
      </c>
      <c r="D44" t="s">
        <v>179</v>
      </c>
      <c r="E44" t="s">
        <v>34</v>
      </c>
      <c r="F44" t="s">
        <v>17</v>
      </c>
      <c r="G44" t="s">
        <v>18</v>
      </c>
      <c r="H44" t="s">
        <v>180</v>
      </c>
      <c r="I44" t="s">
        <v>186</v>
      </c>
      <c r="J44">
        <f>1</f>
        <v>1</v>
      </c>
      <c r="K44" t="s">
        <v>188</v>
      </c>
      <c r="L44" t="s">
        <v>187</v>
      </c>
    </row>
    <row r="45" spans="1:12" x14ac:dyDescent="0.35">
      <c r="J45">
        <f>2</f>
        <v>2</v>
      </c>
      <c r="K45" t="s">
        <v>189</v>
      </c>
    </row>
    <row r="46" spans="1:12" x14ac:dyDescent="0.35">
      <c r="A46" t="s">
        <v>190</v>
      </c>
      <c r="B46" t="s">
        <v>191</v>
      </c>
      <c r="C46" t="s">
        <v>178</v>
      </c>
      <c r="D46" t="s">
        <v>192</v>
      </c>
      <c r="E46" t="s">
        <v>16</v>
      </c>
      <c r="F46" t="s">
        <v>17</v>
      </c>
      <c r="G46" t="s">
        <v>93</v>
      </c>
      <c r="H46" t="s">
        <v>193</v>
      </c>
      <c r="I46" t="s">
        <v>194</v>
      </c>
      <c r="J46">
        <f>1</f>
        <v>1</v>
      </c>
      <c r="K46" t="s">
        <v>196</v>
      </c>
      <c r="L46" t="s">
        <v>195</v>
      </c>
    </row>
    <row r="47" spans="1:12" x14ac:dyDescent="0.35">
      <c r="J47">
        <f>2</f>
        <v>2</v>
      </c>
      <c r="K47" t="s">
        <v>197</v>
      </c>
    </row>
    <row r="48" spans="1:12" x14ac:dyDescent="0.35">
      <c r="A48" t="s">
        <v>198</v>
      </c>
      <c r="B48" t="s">
        <v>199</v>
      </c>
      <c r="C48" t="s">
        <v>178</v>
      </c>
      <c r="D48" t="s">
        <v>200</v>
      </c>
      <c r="E48" t="s">
        <v>34</v>
      </c>
      <c r="F48" t="s">
        <v>17</v>
      </c>
      <c r="G48" t="s">
        <v>18</v>
      </c>
      <c r="H48" t="s">
        <v>180</v>
      </c>
      <c r="I48" t="s">
        <v>201</v>
      </c>
      <c r="J48">
        <f>1</f>
        <v>1</v>
      </c>
      <c r="K48" t="s">
        <v>203</v>
      </c>
      <c r="L48" t="s">
        <v>202</v>
      </c>
    </row>
    <row r="49" spans="1:12" x14ac:dyDescent="0.35">
      <c r="A49" t="s">
        <v>204</v>
      </c>
      <c r="B49" t="s">
        <v>205</v>
      </c>
      <c r="C49" t="s">
        <v>178</v>
      </c>
      <c r="D49" t="s">
        <v>206</v>
      </c>
      <c r="E49" t="s">
        <v>34</v>
      </c>
      <c r="F49" t="s">
        <v>17</v>
      </c>
      <c r="G49" t="s">
        <v>18</v>
      </c>
      <c r="H49" t="s">
        <v>180</v>
      </c>
      <c r="I49" t="s">
        <v>207</v>
      </c>
      <c r="J49">
        <f>1</f>
        <v>1</v>
      </c>
      <c r="K49" t="s">
        <v>209</v>
      </c>
      <c r="L49" t="s">
        <v>208</v>
      </c>
    </row>
    <row r="50" spans="1:12" x14ac:dyDescent="0.35">
      <c r="J50">
        <f>2</f>
        <v>2</v>
      </c>
      <c r="K50" t="s">
        <v>210</v>
      </c>
    </row>
    <row r="51" spans="1:12" x14ac:dyDescent="0.35">
      <c r="J51">
        <f>3</f>
        <v>3</v>
      </c>
      <c r="K51" t="s">
        <v>211</v>
      </c>
    </row>
    <row r="52" spans="1:12" x14ac:dyDescent="0.35">
      <c r="A52" t="s">
        <v>212</v>
      </c>
      <c r="B52" t="s">
        <v>213</v>
      </c>
      <c r="C52" t="s">
        <v>214</v>
      </c>
      <c r="D52" t="s">
        <v>215</v>
      </c>
      <c r="E52" t="s">
        <v>34</v>
      </c>
      <c r="F52" t="s">
        <v>17</v>
      </c>
      <c r="G52" t="s">
        <v>18</v>
      </c>
      <c r="H52" t="s">
        <v>216</v>
      </c>
      <c r="I52" t="s">
        <v>217</v>
      </c>
      <c r="J52">
        <f>1</f>
        <v>1</v>
      </c>
      <c r="K52" t="s">
        <v>219</v>
      </c>
      <c r="L52" t="s">
        <v>218</v>
      </c>
    </row>
    <row r="53" spans="1:12" x14ac:dyDescent="0.35">
      <c r="J53">
        <f>2</f>
        <v>2</v>
      </c>
      <c r="K53" t="s">
        <v>220</v>
      </c>
    </row>
    <row r="54" spans="1:12" x14ac:dyDescent="0.35">
      <c r="A54" t="s">
        <v>221</v>
      </c>
      <c r="B54" t="s">
        <v>222</v>
      </c>
      <c r="C54" t="s">
        <v>214</v>
      </c>
      <c r="D54" t="s">
        <v>223</v>
      </c>
      <c r="E54" t="s">
        <v>16</v>
      </c>
      <c r="F54" t="s">
        <v>17</v>
      </c>
      <c r="G54" t="s">
        <v>224</v>
      </c>
      <c r="H54" t="s">
        <v>225</v>
      </c>
      <c r="I54" t="s">
        <v>217</v>
      </c>
      <c r="J54">
        <f>1</f>
        <v>1</v>
      </c>
      <c r="K54" t="s">
        <v>227</v>
      </c>
      <c r="L54" t="s">
        <v>226</v>
      </c>
    </row>
    <row r="55" spans="1:12" x14ac:dyDescent="0.35">
      <c r="J55">
        <f>2</f>
        <v>2</v>
      </c>
      <c r="K55" t="s">
        <v>228</v>
      </c>
    </row>
    <row r="56" spans="1:12" x14ac:dyDescent="0.35">
      <c r="A56" t="s">
        <v>229</v>
      </c>
      <c r="B56" t="s">
        <v>230</v>
      </c>
      <c r="C56" t="s">
        <v>214</v>
      </c>
      <c r="D56" t="s">
        <v>231</v>
      </c>
      <c r="E56" t="s">
        <v>34</v>
      </c>
      <c r="F56" t="s">
        <v>101</v>
      </c>
      <c r="G56" t="s">
        <v>18</v>
      </c>
      <c r="H56" t="s">
        <v>102</v>
      </c>
      <c r="I56" t="s">
        <v>232</v>
      </c>
      <c r="J56">
        <f>1</f>
        <v>1</v>
      </c>
      <c r="K56" t="s">
        <v>234</v>
      </c>
      <c r="L56" t="s">
        <v>233</v>
      </c>
    </row>
    <row r="57" spans="1:12" x14ac:dyDescent="0.35">
      <c r="J57">
        <f>2</f>
        <v>2</v>
      </c>
      <c r="K57" t="s">
        <v>235</v>
      </c>
    </row>
    <row r="58" spans="1:12" x14ac:dyDescent="0.35">
      <c r="J58">
        <f>3</f>
        <v>3</v>
      </c>
      <c r="K58" t="s">
        <v>236</v>
      </c>
    </row>
    <row r="59" spans="1:12" x14ac:dyDescent="0.35">
      <c r="A59" t="s">
        <v>237</v>
      </c>
      <c r="B59" t="s">
        <v>238</v>
      </c>
      <c r="C59" t="s">
        <v>214</v>
      </c>
      <c r="D59" t="s">
        <v>239</v>
      </c>
      <c r="E59" t="s">
        <v>34</v>
      </c>
      <c r="F59" t="s">
        <v>17</v>
      </c>
      <c r="G59" t="s">
        <v>93</v>
      </c>
      <c r="H59" t="s">
        <v>148</v>
      </c>
      <c r="I59" t="s">
        <v>240</v>
      </c>
      <c r="J59">
        <f>1</f>
        <v>1</v>
      </c>
      <c r="K59" t="s">
        <v>242</v>
      </c>
      <c r="L59" t="s">
        <v>241</v>
      </c>
    </row>
    <row r="60" spans="1:12" x14ac:dyDescent="0.35">
      <c r="A60" t="s">
        <v>243</v>
      </c>
      <c r="B60" t="s">
        <v>244</v>
      </c>
      <c r="C60" t="s">
        <v>214</v>
      </c>
      <c r="D60" t="s">
        <v>245</v>
      </c>
      <c r="E60" t="s">
        <v>34</v>
      </c>
      <c r="F60" t="s">
        <v>17</v>
      </c>
      <c r="G60" t="s">
        <v>224</v>
      </c>
      <c r="H60" t="s">
        <v>216</v>
      </c>
      <c r="I60" t="s">
        <v>246</v>
      </c>
      <c r="J60">
        <f>1</f>
        <v>1</v>
      </c>
      <c r="K60" t="s">
        <v>248</v>
      </c>
      <c r="L60" t="s">
        <v>247</v>
      </c>
    </row>
    <row r="61" spans="1:12" x14ac:dyDescent="0.35">
      <c r="J61">
        <f>2</f>
        <v>2</v>
      </c>
      <c r="K61" t="s">
        <v>249</v>
      </c>
    </row>
    <row r="62" spans="1:12" x14ac:dyDescent="0.35">
      <c r="A62" t="s">
        <v>250</v>
      </c>
      <c r="B62" t="s">
        <v>251</v>
      </c>
      <c r="C62" t="s">
        <v>214</v>
      </c>
      <c r="D62" t="s">
        <v>245</v>
      </c>
      <c r="E62" t="s">
        <v>34</v>
      </c>
      <c r="F62" t="s">
        <v>17</v>
      </c>
      <c r="G62" t="s">
        <v>18</v>
      </c>
      <c r="H62" t="s">
        <v>252</v>
      </c>
      <c r="I62" t="s">
        <v>217</v>
      </c>
      <c r="J62">
        <f>1</f>
        <v>1</v>
      </c>
      <c r="K62" t="s">
        <v>254</v>
      </c>
      <c r="L62" t="s">
        <v>253</v>
      </c>
    </row>
    <row r="63" spans="1:12" x14ac:dyDescent="0.35">
      <c r="J63">
        <f>2</f>
        <v>2</v>
      </c>
      <c r="K63" t="s">
        <v>255</v>
      </c>
    </row>
    <row r="64" spans="1:12" x14ac:dyDescent="0.35">
      <c r="A64" t="s">
        <v>256</v>
      </c>
      <c r="B64" t="s">
        <v>257</v>
      </c>
      <c r="C64" t="s">
        <v>258</v>
      </c>
      <c r="D64" t="s">
        <v>259</v>
      </c>
      <c r="E64" t="s">
        <v>16</v>
      </c>
      <c r="F64" t="s">
        <v>17</v>
      </c>
      <c r="G64" t="s">
        <v>18</v>
      </c>
      <c r="H64" t="s">
        <v>260</v>
      </c>
      <c r="I64" t="s">
        <v>261</v>
      </c>
      <c r="J64">
        <f>1</f>
        <v>1</v>
      </c>
      <c r="K64" t="s">
        <v>263</v>
      </c>
      <c r="L64" t="s">
        <v>262</v>
      </c>
    </row>
    <row r="65" spans="1:12" x14ac:dyDescent="0.35">
      <c r="J65">
        <f>2</f>
        <v>2</v>
      </c>
      <c r="K65" t="s">
        <v>264</v>
      </c>
    </row>
    <row r="66" spans="1:12" x14ac:dyDescent="0.35">
      <c r="A66" t="s">
        <v>265</v>
      </c>
      <c r="B66" t="s">
        <v>266</v>
      </c>
      <c r="C66" t="s">
        <v>258</v>
      </c>
      <c r="D66" t="s">
        <v>267</v>
      </c>
      <c r="E66" t="s">
        <v>16</v>
      </c>
      <c r="F66" t="s">
        <v>17</v>
      </c>
      <c r="G66" t="s">
        <v>18</v>
      </c>
      <c r="H66" t="s">
        <v>268</v>
      </c>
      <c r="I66" t="s">
        <v>269</v>
      </c>
      <c r="J66">
        <f>1</f>
        <v>1</v>
      </c>
      <c r="K66" t="s">
        <v>271</v>
      </c>
      <c r="L66" t="s">
        <v>270</v>
      </c>
    </row>
    <row r="67" spans="1:12" x14ac:dyDescent="0.35">
      <c r="J67">
        <f>2</f>
        <v>2</v>
      </c>
      <c r="K67" t="s">
        <v>272</v>
      </c>
    </row>
    <row r="68" spans="1:12" x14ac:dyDescent="0.35">
      <c r="A68" t="s">
        <v>273</v>
      </c>
      <c r="B68" t="s">
        <v>274</v>
      </c>
      <c r="C68" t="s">
        <v>258</v>
      </c>
      <c r="D68" t="s">
        <v>275</v>
      </c>
      <c r="E68" t="s">
        <v>34</v>
      </c>
      <c r="F68" t="s">
        <v>17</v>
      </c>
      <c r="G68" t="s">
        <v>35</v>
      </c>
      <c r="H68" t="s">
        <v>148</v>
      </c>
      <c r="I68" t="s">
        <v>276</v>
      </c>
      <c r="J68">
        <f>1</f>
        <v>1</v>
      </c>
      <c r="K68" t="s">
        <v>278</v>
      </c>
      <c r="L68" t="s">
        <v>277</v>
      </c>
    </row>
    <row r="69" spans="1:12" x14ac:dyDescent="0.35">
      <c r="J69">
        <f>2</f>
        <v>2</v>
      </c>
      <c r="K69" t="s">
        <v>279</v>
      </c>
    </row>
    <row r="70" spans="1:12" x14ac:dyDescent="0.35">
      <c r="A70" t="s">
        <v>280</v>
      </c>
      <c r="B70" t="s">
        <v>281</v>
      </c>
      <c r="C70" t="s">
        <v>258</v>
      </c>
      <c r="D70" t="s">
        <v>282</v>
      </c>
      <c r="E70" t="s">
        <v>16</v>
      </c>
      <c r="F70" t="s">
        <v>17</v>
      </c>
      <c r="G70" t="s">
        <v>224</v>
      </c>
      <c r="H70" t="s">
        <v>252</v>
      </c>
      <c r="I70" t="s">
        <v>283</v>
      </c>
      <c r="J70">
        <f>1</f>
        <v>1</v>
      </c>
      <c r="K70" t="s">
        <v>285</v>
      </c>
      <c r="L70" t="s">
        <v>284</v>
      </c>
    </row>
    <row r="71" spans="1:12" x14ac:dyDescent="0.35">
      <c r="A71" t="s">
        <v>286</v>
      </c>
      <c r="B71" t="s">
        <v>287</v>
      </c>
      <c r="C71" t="s">
        <v>258</v>
      </c>
      <c r="D71" t="s">
        <v>288</v>
      </c>
      <c r="E71" t="s">
        <v>16</v>
      </c>
      <c r="F71" t="s">
        <v>17</v>
      </c>
      <c r="G71" t="s">
        <v>224</v>
      </c>
      <c r="H71" t="s">
        <v>252</v>
      </c>
      <c r="I71" t="s">
        <v>283</v>
      </c>
      <c r="J71">
        <f>1</f>
        <v>1</v>
      </c>
      <c r="K71" t="s">
        <v>290</v>
      </c>
      <c r="L71" t="s">
        <v>289</v>
      </c>
    </row>
    <row r="72" spans="1:12" x14ac:dyDescent="0.35">
      <c r="A72" t="s">
        <v>291</v>
      </c>
      <c r="B72" t="s">
        <v>292</v>
      </c>
      <c r="C72" t="s">
        <v>258</v>
      </c>
      <c r="D72" t="s">
        <v>293</v>
      </c>
      <c r="E72" t="s">
        <v>16</v>
      </c>
      <c r="F72" t="s">
        <v>17</v>
      </c>
      <c r="G72" t="s">
        <v>93</v>
      </c>
      <c r="H72" t="s">
        <v>148</v>
      </c>
      <c r="I72" t="s">
        <v>294</v>
      </c>
      <c r="J72">
        <f>1</f>
        <v>1</v>
      </c>
      <c r="K72" t="s">
        <v>295</v>
      </c>
      <c r="L72" t="s">
        <v>150</v>
      </c>
    </row>
    <row r="73" spans="1:12" x14ac:dyDescent="0.35">
      <c r="A73" t="s">
        <v>296</v>
      </c>
      <c r="B73" t="s">
        <v>297</v>
      </c>
      <c r="C73" t="s">
        <v>258</v>
      </c>
      <c r="D73" t="s">
        <v>298</v>
      </c>
      <c r="E73" t="s">
        <v>34</v>
      </c>
      <c r="F73" t="s">
        <v>17</v>
      </c>
      <c r="G73" t="s">
        <v>93</v>
      </c>
      <c r="H73" t="s">
        <v>299</v>
      </c>
      <c r="I73" t="s">
        <v>283</v>
      </c>
      <c r="J73">
        <f>1</f>
        <v>1</v>
      </c>
      <c r="K73" t="s">
        <v>301</v>
      </c>
      <c r="L73" t="s">
        <v>300</v>
      </c>
    </row>
    <row r="74" spans="1:12" x14ac:dyDescent="0.35">
      <c r="J74">
        <f>2</f>
        <v>2</v>
      </c>
      <c r="K74" t="s">
        <v>302</v>
      </c>
    </row>
    <row r="75" spans="1:12" x14ac:dyDescent="0.35">
      <c r="A75" t="s">
        <v>303</v>
      </c>
      <c r="B75" t="s">
        <v>304</v>
      </c>
      <c r="C75" t="s">
        <v>258</v>
      </c>
      <c r="D75" t="s">
        <v>305</v>
      </c>
      <c r="E75" t="s">
        <v>34</v>
      </c>
      <c r="F75" t="s">
        <v>17</v>
      </c>
      <c r="G75" t="s">
        <v>45</v>
      </c>
      <c r="H75" t="s">
        <v>306</v>
      </c>
      <c r="I75" t="s">
        <v>307</v>
      </c>
      <c r="J75">
        <f>1</f>
        <v>1</v>
      </c>
      <c r="K75" t="s">
        <v>309</v>
      </c>
      <c r="L75" t="s">
        <v>308</v>
      </c>
    </row>
    <row r="76" spans="1:12" x14ac:dyDescent="0.35">
      <c r="A76" t="s">
        <v>310</v>
      </c>
      <c r="B76" t="s">
        <v>311</v>
      </c>
      <c r="C76" t="s">
        <v>258</v>
      </c>
      <c r="D76" t="s">
        <v>312</v>
      </c>
      <c r="E76" t="s">
        <v>34</v>
      </c>
      <c r="F76" t="s">
        <v>17</v>
      </c>
      <c r="G76" t="s">
        <v>35</v>
      </c>
      <c r="H76" t="s">
        <v>148</v>
      </c>
      <c r="I76" t="s">
        <v>283</v>
      </c>
      <c r="J76">
        <f>1</f>
        <v>1</v>
      </c>
      <c r="K76" t="s">
        <v>314</v>
      </c>
      <c r="L76" t="s">
        <v>313</v>
      </c>
    </row>
    <row r="77" spans="1:12" x14ac:dyDescent="0.35">
      <c r="J77">
        <f>2</f>
        <v>2</v>
      </c>
      <c r="K77" t="s">
        <v>264</v>
      </c>
    </row>
    <row r="78" spans="1:12" x14ac:dyDescent="0.35">
      <c r="A78" t="s">
        <v>315</v>
      </c>
      <c r="B78" t="s">
        <v>316</v>
      </c>
      <c r="C78" t="s">
        <v>258</v>
      </c>
      <c r="D78" t="s">
        <v>317</v>
      </c>
      <c r="E78" t="s">
        <v>318</v>
      </c>
      <c r="F78" t="s">
        <v>17</v>
      </c>
      <c r="G78" t="s">
        <v>319</v>
      </c>
      <c r="H78" t="s">
        <v>320</v>
      </c>
      <c r="I78" t="s">
        <v>283</v>
      </c>
      <c r="J78">
        <f>1</f>
        <v>1</v>
      </c>
      <c r="K78" t="s">
        <v>322</v>
      </c>
      <c r="L78" t="s">
        <v>321</v>
      </c>
    </row>
    <row r="79" spans="1:12" x14ac:dyDescent="0.35">
      <c r="J79">
        <f>2</f>
        <v>2</v>
      </c>
      <c r="K79" t="s">
        <v>323</v>
      </c>
    </row>
    <row r="80" spans="1:12" x14ac:dyDescent="0.35">
      <c r="J80">
        <f>3</f>
        <v>3</v>
      </c>
      <c r="K80" t="s">
        <v>324</v>
      </c>
    </row>
    <row r="81" spans="1:12" x14ac:dyDescent="0.35">
      <c r="A81" t="s">
        <v>325</v>
      </c>
      <c r="B81" t="s">
        <v>326</v>
      </c>
      <c r="C81" t="s">
        <v>327</v>
      </c>
      <c r="D81" t="s">
        <v>328</v>
      </c>
      <c r="E81" t="s">
        <v>16</v>
      </c>
      <c r="F81" t="s">
        <v>17</v>
      </c>
      <c r="G81" t="s">
        <v>18</v>
      </c>
      <c r="H81" t="s">
        <v>329</v>
      </c>
      <c r="I81" t="s">
        <v>330</v>
      </c>
      <c r="J81">
        <f>1</f>
        <v>1</v>
      </c>
      <c r="K81" t="s">
        <v>332</v>
      </c>
      <c r="L81" t="s">
        <v>331</v>
      </c>
    </row>
    <row r="82" spans="1:12" x14ac:dyDescent="0.35">
      <c r="J82">
        <f>2</f>
        <v>2</v>
      </c>
      <c r="K82" t="s">
        <v>333</v>
      </c>
    </row>
    <row r="83" spans="1:12" x14ac:dyDescent="0.35">
      <c r="A83" t="s">
        <v>334</v>
      </c>
      <c r="B83" t="s">
        <v>335</v>
      </c>
      <c r="C83" t="s">
        <v>327</v>
      </c>
      <c r="D83" t="s">
        <v>336</v>
      </c>
      <c r="E83" t="s">
        <v>16</v>
      </c>
      <c r="F83" t="s">
        <v>17</v>
      </c>
      <c r="G83" t="s">
        <v>18</v>
      </c>
      <c r="H83" t="s">
        <v>329</v>
      </c>
      <c r="I83" t="s">
        <v>330</v>
      </c>
      <c r="J83">
        <f>1</f>
        <v>1</v>
      </c>
      <c r="K83" t="s">
        <v>338</v>
      </c>
      <c r="L83" t="s">
        <v>337</v>
      </c>
    </row>
    <row r="84" spans="1:12" x14ac:dyDescent="0.35">
      <c r="A84" t="s">
        <v>339</v>
      </c>
      <c r="B84" t="s">
        <v>340</v>
      </c>
      <c r="C84" t="s">
        <v>327</v>
      </c>
      <c r="D84" t="s">
        <v>341</v>
      </c>
      <c r="E84" t="s">
        <v>16</v>
      </c>
      <c r="F84" t="s">
        <v>17</v>
      </c>
      <c r="G84" t="s">
        <v>93</v>
      </c>
      <c r="H84" t="s">
        <v>329</v>
      </c>
      <c r="I84" t="s">
        <v>330</v>
      </c>
      <c r="J84">
        <f>1</f>
        <v>1</v>
      </c>
      <c r="K84" t="s">
        <v>343</v>
      </c>
      <c r="L84" t="s">
        <v>342</v>
      </c>
    </row>
    <row r="85" spans="1:12" x14ac:dyDescent="0.35">
      <c r="J85">
        <f>2</f>
        <v>2</v>
      </c>
      <c r="K85" t="s">
        <v>344</v>
      </c>
    </row>
    <row r="86" spans="1:12" x14ac:dyDescent="0.35">
      <c r="J86">
        <f>3</f>
        <v>3</v>
      </c>
      <c r="K86" t="s">
        <v>345</v>
      </c>
    </row>
    <row r="87" spans="1:12" x14ac:dyDescent="0.35">
      <c r="A87" t="s">
        <v>346</v>
      </c>
      <c r="B87" t="s">
        <v>347</v>
      </c>
      <c r="C87" t="s">
        <v>327</v>
      </c>
      <c r="D87" t="s">
        <v>348</v>
      </c>
      <c r="E87" t="s">
        <v>34</v>
      </c>
      <c r="F87" t="s">
        <v>17</v>
      </c>
      <c r="G87" t="s">
        <v>35</v>
      </c>
      <c r="H87" t="s">
        <v>329</v>
      </c>
      <c r="I87" t="s">
        <v>330</v>
      </c>
      <c r="J87">
        <f>1</f>
        <v>1</v>
      </c>
      <c r="K87" t="s">
        <v>350</v>
      </c>
      <c r="L87" t="s">
        <v>349</v>
      </c>
    </row>
    <row r="88" spans="1:12" x14ac:dyDescent="0.35">
      <c r="J88">
        <f>2</f>
        <v>2</v>
      </c>
      <c r="K88" t="s">
        <v>351</v>
      </c>
    </row>
    <row r="89" spans="1:12" x14ac:dyDescent="0.35">
      <c r="A89" t="s">
        <v>352</v>
      </c>
      <c r="B89" t="s">
        <v>353</v>
      </c>
      <c r="C89" t="s">
        <v>327</v>
      </c>
      <c r="D89" t="s">
        <v>354</v>
      </c>
      <c r="E89" t="s">
        <v>34</v>
      </c>
      <c r="F89" t="s">
        <v>17</v>
      </c>
      <c r="G89" t="s">
        <v>35</v>
      </c>
      <c r="H89" t="s">
        <v>329</v>
      </c>
      <c r="I89" t="s">
        <v>330</v>
      </c>
      <c r="J89">
        <f>1</f>
        <v>1</v>
      </c>
      <c r="K89" t="s">
        <v>356</v>
      </c>
      <c r="L89" t="s">
        <v>355</v>
      </c>
    </row>
    <row r="90" spans="1:12" x14ac:dyDescent="0.35">
      <c r="J90">
        <f>2</f>
        <v>2</v>
      </c>
      <c r="K90" t="s">
        <v>357</v>
      </c>
    </row>
    <row r="91" spans="1:12" x14ac:dyDescent="0.35">
      <c r="J91">
        <f>3</f>
        <v>3</v>
      </c>
      <c r="K91" t="s">
        <v>358</v>
      </c>
    </row>
    <row r="92" spans="1:12" x14ac:dyDescent="0.35">
      <c r="A92" t="s">
        <v>359</v>
      </c>
      <c r="B92" t="s">
        <v>360</v>
      </c>
      <c r="C92" t="s">
        <v>327</v>
      </c>
      <c r="D92" t="s">
        <v>361</v>
      </c>
      <c r="E92" t="s">
        <v>34</v>
      </c>
      <c r="F92" t="s">
        <v>17</v>
      </c>
      <c r="G92" t="s">
        <v>35</v>
      </c>
      <c r="H92" t="s">
        <v>329</v>
      </c>
      <c r="I92" t="s">
        <v>330</v>
      </c>
      <c r="J92">
        <f>1</f>
        <v>1</v>
      </c>
      <c r="K92" t="s">
        <v>363</v>
      </c>
      <c r="L92" t="s">
        <v>362</v>
      </c>
    </row>
    <row r="93" spans="1:12" x14ac:dyDescent="0.35">
      <c r="J93">
        <f>2</f>
        <v>2</v>
      </c>
      <c r="K93" t="s">
        <v>364</v>
      </c>
    </row>
    <row r="94" spans="1:12" x14ac:dyDescent="0.35">
      <c r="A94" t="s">
        <v>365</v>
      </c>
      <c r="B94" t="s">
        <v>366</v>
      </c>
      <c r="C94" t="s">
        <v>327</v>
      </c>
      <c r="D94" t="s">
        <v>367</v>
      </c>
      <c r="E94" t="s">
        <v>318</v>
      </c>
      <c r="F94" t="s">
        <v>17</v>
      </c>
      <c r="G94" t="s">
        <v>319</v>
      </c>
      <c r="H94" t="s">
        <v>329</v>
      </c>
      <c r="I94" t="s">
        <v>330</v>
      </c>
      <c r="J94">
        <f>1</f>
        <v>1</v>
      </c>
      <c r="K94" t="s">
        <v>369</v>
      </c>
      <c r="L94" t="s">
        <v>368</v>
      </c>
    </row>
    <row r="95" spans="1:12" x14ac:dyDescent="0.35">
      <c r="J95">
        <f>2</f>
        <v>2</v>
      </c>
      <c r="K95" t="s">
        <v>370</v>
      </c>
    </row>
    <row r="96" spans="1:12" x14ac:dyDescent="0.35">
      <c r="A96" t="s">
        <v>371</v>
      </c>
      <c r="B96" t="s">
        <v>372</v>
      </c>
      <c r="C96" t="s">
        <v>373</v>
      </c>
      <c r="D96" t="s">
        <v>374</v>
      </c>
      <c r="E96" t="s">
        <v>16</v>
      </c>
      <c r="F96" t="s">
        <v>17</v>
      </c>
      <c r="G96" t="s">
        <v>18</v>
      </c>
      <c r="H96" t="s">
        <v>375</v>
      </c>
      <c r="I96" t="s">
        <v>376</v>
      </c>
      <c r="J96">
        <f>1</f>
        <v>1</v>
      </c>
      <c r="K96" t="s">
        <v>378</v>
      </c>
      <c r="L96" t="s">
        <v>377</v>
      </c>
    </row>
    <row r="97" spans="1:12" x14ac:dyDescent="0.35">
      <c r="J97">
        <f>2</f>
        <v>2</v>
      </c>
      <c r="K97" t="s">
        <v>379</v>
      </c>
    </row>
    <row r="98" spans="1:12" x14ac:dyDescent="0.35">
      <c r="A98" t="s">
        <v>380</v>
      </c>
      <c r="B98" t="s">
        <v>381</v>
      </c>
      <c r="C98" t="s">
        <v>373</v>
      </c>
      <c r="D98" t="s">
        <v>382</v>
      </c>
      <c r="E98" t="s">
        <v>16</v>
      </c>
      <c r="F98" t="s">
        <v>17</v>
      </c>
      <c r="G98" t="s">
        <v>18</v>
      </c>
      <c r="H98" t="s">
        <v>375</v>
      </c>
      <c r="I98" t="s">
        <v>383</v>
      </c>
      <c r="J98">
        <f>1</f>
        <v>1</v>
      </c>
      <c r="K98" t="s">
        <v>385</v>
      </c>
      <c r="L98" t="s">
        <v>384</v>
      </c>
    </row>
    <row r="99" spans="1:12" x14ac:dyDescent="0.35">
      <c r="J99">
        <f>2</f>
        <v>2</v>
      </c>
      <c r="K99" t="s">
        <v>386</v>
      </c>
    </row>
    <row r="100" spans="1:12" x14ac:dyDescent="0.35">
      <c r="A100" t="s">
        <v>387</v>
      </c>
      <c r="B100" t="s">
        <v>388</v>
      </c>
      <c r="C100" t="s">
        <v>373</v>
      </c>
      <c r="D100" t="s">
        <v>389</v>
      </c>
      <c r="E100" t="s">
        <v>16</v>
      </c>
      <c r="F100" t="s">
        <v>17</v>
      </c>
      <c r="G100" t="s">
        <v>35</v>
      </c>
      <c r="H100" t="s">
        <v>375</v>
      </c>
      <c r="I100" t="s">
        <v>390</v>
      </c>
      <c r="J100">
        <f>1</f>
        <v>1</v>
      </c>
      <c r="K100" t="s">
        <v>392</v>
      </c>
      <c r="L100" t="s">
        <v>391</v>
      </c>
    </row>
    <row r="101" spans="1:12" x14ac:dyDescent="0.35">
      <c r="J101">
        <f>2</f>
        <v>2</v>
      </c>
      <c r="K101" t="s">
        <v>393</v>
      </c>
    </row>
    <row r="102" spans="1:12" x14ac:dyDescent="0.35">
      <c r="A102" t="s">
        <v>394</v>
      </c>
      <c r="B102" t="s">
        <v>395</v>
      </c>
      <c r="C102" t="s">
        <v>373</v>
      </c>
      <c r="D102" t="s">
        <v>396</v>
      </c>
      <c r="E102" t="s">
        <v>16</v>
      </c>
      <c r="F102" t="s">
        <v>17</v>
      </c>
      <c r="G102" t="s">
        <v>93</v>
      </c>
      <c r="H102" t="s">
        <v>375</v>
      </c>
      <c r="I102" t="s">
        <v>397</v>
      </c>
      <c r="J102">
        <f>1</f>
        <v>1</v>
      </c>
      <c r="K102" t="s">
        <v>399</v>
      </c>
      <c r="L102" t="s">
        <v>398</v>
      </c>
    </row>
    <row r="103" spans="1:12" x14ac:dyDescent="0.35">
      <c r="J103">
        <f>2</f>
        <v>2</v>
      </c>
      <c r="K103" t="s">
        <v>400</v>
      </c>
    </row>
    <row r="104" spans="1:12" x14ac:dyDescent="0.35">
      <c r="A104" t="s">
        <v>401</v>
      </c>
      <c r="B104" t="s">
        <v>402</v>
      </c>
      <c r="C104" t="s">
        <v>373</v>
      </c>
      <c r="D104" t="s">
        <v>403</v>
      </c>
      <c r="E104" t="s">
        <v>16</v>
      </c>
      <c r="F104" t="s">
        <v>17</v>
      </c>
      <c r="G104" t="s">
        <v>93</v>
      </c>
      <c r="H104" t="s">
        <v>375</v>
      </c>
      <c r="I104" t="s">
        <v>404</v>
      </c>
      <c r="J104">
        <f>1</f>
        <v>1</v>
      </c>
      <c r="K104" t="s">
        <v>399</v>
      </c>
      <c r="L104" t="s">
        <v>405</v>
      </c>
    </row>
    <row r="105" spans="1:12" x14ac:dyDescent="0.35">
      <c r="J105">
        <f>2</f>
        <v>2</v>
      </c>
      <c r="K105" t="s">
        <v>406</v>
      </c>
    </row>
    <row r="106" spans="1:12" x14ac:dyDescent="0.35">
      <c r="A106" t="s">
        <v>407</v>
      </c>
      <c r="B106" t="s">
        <v>408</v>
      </c>
      <c r="C106" t="s">
        <v>409</v>
      </c>
      <c r="D106" t="s">
        <v>410</v>
      </c>
      <c r="E106" t="s">
        <v>16</v>
      </c>
      <c r="F106" t="s">
        <v>17</v>
      </c>
      <c r="G106" t="s">
        <v>18</v>
      </c>
      <c r="H106" t="s">
        <v>411</v>
      </c>
      <c r="I106" t="s">
        <v>412</v>
      </c>
      <c r="J106">
        <f>1</f>
        <v>1</v>
      </c>
      <c r="K106" t="s">
        <v>414</v>
      </c>
      <c r="L106" t="s">
        <v>413</v>
      </c>
    </row>
    <row r="107" spans="1:12" x14ac:dyDescent="0.35">
      <c r="J107">
        <f>2</f>
        <v>2</v>
      </c>
      <c r="K107" t="s">
        <v>415</v>
      </c>
    </row>
    <row r="108" spans="1:12" x14ac:dyDescent="0.35">
      <c r="J108">
        <f>3</f>
        <v>3</v>
      </c>
      <c r="K108" t="s">
        <v>416</v>
      </c>
    </row>
    <row r="109" spans="1:12" x14ac:dyDescent="0.35">
      <c r="A109" t="s">
        <v>417</v>
      </c>
      <c r="B109" t="s">
        <v>418</v>
      </c>
      <c r="C109" t="s">
        <v>409</v>
      </c>
      <c r="D109" t="s">
        <v>419</v>
      </c>
      <c r="E109" t="s">
        <v>16</v>
      </c>
      <c r="F109" t="s">
        <v>17</v>
      </c>
      <c r="G109" t="s">
        <v>18</v>
      </c>
      <c r="H109" t="s">
        <v>193</v>
      </c>
      <c r="I109" t="s">
        <v>420</v>
      </c>
      <c r="J109">
        <f>1</f>
        <v>1</v>
      </c>
      <c r="K109" t="s">
        <v>422</v>
      </c>
      <c r="L109" t="s">
        <v>421</v>
      </c>
    </row>
    <row r="110" spans="1:12" x14ac:dyDescent="0.35">
      <c r="J110">
        <f>2</f>
        <v>2</v>
      </c>
      <c r="K110" t="s">
        <v>423</v>
      </c>
    </row>
    <row r="111" spans="1:12" x14ac:dyDescent="0.35">
      <c r="J111">
        <f>3</f>
        <v>3</v>
      </c>
      <c r="K111" t="s">
        <v>424</v>
      </c>
    </row>
    <row r="112" spans="1:12" x14ac:dyDescent="0.35">
      <c r="A112" t="s">
        <v>425</v>
      </c>
      <c r="B112" t="s">
        <v>426</v>
      </c>
      <c r="C112" t="s">
        <v>409</v>
      </c>
      <c r="D112" t="s">
        <v>427</v>
      </c>
      <c r="E112" t="s">
        <v>16</v>
      </c>
      <c r="F112" t="s">
        <v>17</v>
      </c>
      <c r="G112" t="s">
        <v>18</v>
      </c>
      <c r="H112" t="s">
        <v>193</v>
      </c>
      <c r="I112" t="s">
        <v>428</v>
      </c>
      <c r="J112">
        <f>1</f>
        <v>1</v>
      </c>
      <c r="K112" t="s">
        <v>430</v>
      </c>
      <c r="L112" t="s">
        <v>429</v>
      </c>
    </row>
    <row r="113" spans="1:12" x14ac:dyDescent="0.35">
      <c r="J113">
        <f>2</f>
        <v>2</v>
      </c>
      <c r="K113" t="s">
        <v>431</v>
      </c>
    </row>
    <row r="114" spans="1:12" x14ac:dyDescent="0.35">
      <c r="A114" t="s">
        <v>432</v>
      </c>
      <c r="B114" t="s">
        <v>433</v>
      </c>
      <c r="C114" t="s">
        <v>409</v>
      </c>
      <c r="D114" t="s">
        <v>434</v>
      </c>
      <c r="E114" t="s">
        <v>34</v>
      </c>
      <c r="F114" t="s">
        <v>17</v>
      </c>
      <c r="G114" t="s">
        <v>18</v>
      </c>
      <c r="H114" t="s">
        <v>193</v>
      </c>
      <c r="I114" t="s">
        <v>435</v>
      </c>
      <c r="J114">
        <f>1</f>
        <v>1</v>
      </c>
      <c r="K114" t="s">
        <v>437</v>
      </c>
      <c r="L114" t="s">
        <v>436</v>
      </c>
    </row>
    <row r="115" spans="1:12" x14ac:dyDescent="0.35">
      <c r="J115">
        <f>2</f>
        <v>2</v>
      </c>
      <c r="K115" t="s">
        <v>438</v>
      </c>
    </row>
    <row r="116" spans="1:12" x14ac:dyDescent="0.35">
      <c r="A116" t="s">
        <v>439</v>
      </c>
      <c r="B116" t="s">
        <v>440</v>
      </c>
      <c r="C116" t="s">
        <v>409</v>
      </c>
      <c r="D116" t="s">
        <v>441</v>
      </c>
      <c r="E116" t="s">
        <v>34</v>
      </c>
      <c r="F116" t="s">
        <v>17</v>
      </c>
      <c r="G116" t="s">
        <v>93</v>
      </c>
      <c r="H116" t="s">
        <v>193</v>
      </c>
      <c r="I116" t="s">
        <v>442</v>
      </c>
      <c r="J116">
        <f>1</f>
        <v>1</v>
      </c>
      <c r="K116" t="s">
        <v>444</v>
      </c>
      <c r="L116" t="s">
        <v>443</v>
      </c>
    </row>
    <row r="117" spans="1:12" x14ac:dyDescent="0.35">
      <c r="J117">
        <f>2</f>
        <v>2</v>
      </c>
      <c r="K117" t="s">
        <v>445</v>
      </c>
    </row>
    <row r="118" spans="1:12" x14ac:dyDescent="0.35">
      <c r="A118" t="s">
        <v>446</v>
      </c>
      <c r="B118" t="s">
        <v>447</v>
      </c>
      <c r="C118" t="s">
        <v>409</v>
      </c>
      <c r="D118" t="s">
        <v>448</v>
      </c>
      <c r="E118" t="s">
        <v>34</v>
      </c>
      <c r="F118" t="s">
        <v>17</v>
      </c>
      <c r="G118" t="s">
        <v>93</v>
      </c>
      <c r="H118" t="s">
        <v>193</v>
      </c>
      <c r="I118" t="s">
        <v>449</v>
      </c>
      <c r="J118">
        <f>1</f>
        <v>1</v>
      </c>
      <c r="K118" t="s">
        <v>451</v>
      </c>
      <c r="L118" t="s">
        <v>450</v>
      </c>
    </row>
    <row r="119" spans="1:12" x14ac:dyDescent="0.35">
      <c r="A119" t="s">
        <v>452</v>
      </c>
      <c r="B119" t="s">
        <v>453</v>
      </c>
      <c r="C119" t="s">
        <v>409</v>
      </c>
      <c r="D119" t="s">
        <v>454</v>
      </c>
      <c r="E119" t="s">
        <v>34</v>
      </c>
      <c r="F119" t="s">
        <v>17</v>
      </c>
      <c r="G119" t="s">
        <v>93</v>
      </c>
      <c r="H119" t="s">
        <v>193</v>
      </c>
      <c r="I119" t="s">
        <v>455</v>
      </c>
      <c r="J119">
        <f>1</f>
        <v>1</v>
      </c>
      <c r="K119" t="s">
        <v>457</v>
      </c>
      <c r="L119" t="s">
        <v>456</v>
      </c>
    </row>
    <row r="120" spans="1:12" x14ac:dyDescent="0.35">
      <c r="J120">
        <f>2</f>
        <v>2</v>
      </c>
      <c r="K120" t="s">
        <v>458</v>
      </c>
    </row>
    <row r="121" spans="1:12" x14ac:dyDescent="0.35">
      <c r="A121" t="s">
        <v>459</v>
      </c>
      <c r="B121" t="s">
        <v>460</v>
      </c>
      <c r="C121" t="s">
        <v>409</v>
      </c>
      <c r="D121" t="s">
        <v>461</v>
      </c>
      <c r="E121" t="s">
        <v>16</v>
      </c>
      <c r="F121" t="s">
        <v>17</v>
      </c>
      <c r="G121" t="s">
        <v>93</v>
      </c>
      <c r="H121" t="s">
        <v>193</v>
      </c>
      <c r="I121" t="s">
        <v>462</v>
      </c>
      <c r="J121">
        <f>1</f>
        <v>1</v>
      </c>
      <c r="K121" t="s">
        <v>464</v>
      </c>
      <c r="L121" t="s">
        <v>463</v>
      </c>
    </row>
    <row r="122" spans="1:12" x14ac:dyDescent="0.35">
      <c r="J122">
        <f>2</f>
        <v>2</v>
      </c>
      <c r="K122" t="s">
        <v>465</v>
      </c>
    </row>
    <row r="123" spans="1:12" x14ac:dyDescent="0.35">
      <c r="A123" t="s">
        <v>466</v>
      </c>
      <c r="B123" t="s">
        <v>467</v>
      </c>
      <c r="C123" t="s">
        <v>409</v>
      </c>
      <c r="D123" t="s">
        <v>468</v>
      </c>
      <c r="E123" t="s">
        <v>34</v>
      </c>
      <c r="F123" t="s">
        <v>17</v>
      </c>
      <c r="G123" t="s">
        <v>18</v>
      </c>
      <c r="H123" t="s">
        <v>193</v>
      </c>
      <c r="I123" t="s">
        <v>469</v>
      </c>
      <c r="J123">
        <f>1</f>
        <v>1</v>
      </c>
      <c r="K123" t="s">
        <v>471</v>
      </c>
      <c r="L123" t="s">
        <v>470</v>
      </c>
    </row>
    <row r="124" spans="1:12" x14ac:dyDescent="0.35">
      <c r="J124">
        <f>2</f>
        <v>2</v>
      </c>
      <c r="K124" t="s">
        <v>472</v>
      </c>
    </row>
    <row r="125" spans="1:12" x14ac:dyDescent="0.35">
      <c r="A125" t="s">
        <v>473</v>
      </c>
      <c r="B125" t="s">
        <v>474</v>
      </c>
      <c r="C125" t="s">
        <v>475</v>
      </c>
      <c r="D125" t="s">
        <v>476</v>
      </c>
      <c r="E125" t="s">
        <v>16</v>
      </c>
      <c r="F125" t="s">
        <v>17</v>
      </c>
      <c r="G125" t="s">
        <v>18</v>
      </c>
      <c r="H125" t="s">
        <v>477</v>
      </c>
      <c r="I125" t="s">
        <v>478</v>
      </c>
      <c r="J125">
        <f>1</f>
        <v>1</v>
      </c>
      <c r="K125" t="s">
        <v>480</v>
      </c>
      <c r="L125" t="s">
        <v>479</v>
      </c>
    </row>
    <row r="126" spans="1:12" x14ac:dyDescent="0.35">
      <c r="J126">
        <f>2</f>
        <v>2</v>
      </c>
      <c r="K126" t="s">
        <v>481</v>
      </c>
    </row>
    <row r="127" spans="1:12" x14ac:dyDescent="0.35">
      <c r="A127" t="s">
        <v>482</v>
      </c>
      <c r="B127" t="s">
        <v>483</v>
      </c>
      <c r="C127" t="s">
        <v>475</v>
      </c>
      <c r="D127" t="s">
        <v>484</v>
      </c>
      <c r="E127" t="s">
        <v>16</v>
      </c>
      <c r="F127" t="s">
        <v>17</v>
      </c>
      <c r="G127" t="s">
        <v>18</v>
      </c>
      <c r="H127" t="s">
        <v>477</v>
      </c>
      <c r="I127" t="s">
        <v>485</v>
      </c>
      <c r="J127">
        <f>1</f>
        <v>1</v>
      </c>
      <c r="K127" t="s">
        <v>487</v>
      </c>
      <c r="L127" t="s">
        <v>486</v>
      </c>
    </row>
    <row r="128" spans="1:12" x14ac:dyDescent="0.35">
      <c r="J128">
        <f>2</f>
        <v>2</v>
      </c>
      <c r="K128" t="s">
        <v>488</v>
      </c>
    </row>
    <row r="129" spans="1:12" x14ac:dyDescent="0.35">
      <c r="A129" t="s">
        <v>489</v>
      </c>
      <c r="B129" t="s">
        <v>490</v>
      </c>
      <c r="C129" t="s">
        <v>475</v>
      </c>
      <c r="D129" t="s">
        <v>491</v>
      </c>
      <c r="E129" t="s">
        <v>34</v>
      </c>
      <c r="F129" t="s">
        <v>17</v>
      </c>
      <c r="G129" t="s">
        <v>93</v>
      </c>
      <c r="H129" t="s">
        <v>477</v>
      </c>
      <c r="I129" t="s">
        <v>492</v>
      </c>
      <c r="J129">
        <f>1</f>
        <v>1</v>
      </c>
      <c r="K129" t="s">
        <v>494</v>
      </c>
      <c r="L129" t="s">
        <v>493</v>
      </c>
    </row>
    <row r="130" spans="1:12" x14ac:dyDescent="0.35">
      <c r="J130">
        <f>2</f>
        <v>2</v>
      </c>
      <c r="K130" t="s">
        <v>495</v>
      </c>
    </row>
    <row r="131" spans="1:12" x14ac:dyDescent="0.35">
      <c r="A131" t="s">
        <v>496</v>
      </c>
      <c r="B131" t="s">
        <v>497</v>
      </c>
      <c r="C131" t="s">
        <v>475</v>
      </c>
      <c r="D131" t="s">
        <v>498</v>
      </c>
      <c r="E131" t="s">
        <v>34</v>
      </c>
      <c r="F131" t="s">
        <v>17</v>
      </c>
      <c r="G131" t="s">
        <v>93</v>
      </c>
      <c r="H131" t="s">
        <v>477</v>
      </c>
      <c r="I131" t="s">
        <v>499</v>
      </c>
      <c r="J131">
        <f>1</f>
        <v>1</v>
      </c>
      <c r="K131" t="s">
        <v>494</v>
      </c>
      <c r="L131" t="s">
        <v>500</v>
      </c>
    </row>
    <row r="132" spans="1:12" x14ac:dyDescent="0.35">
      <c r="J132">
        <f>2</f>
        <v>2</v>
      </c>
      <c r="K132" t="s">
        <v>501</v>
      </c>
    </row>
    <row r="133" spans="1:12" x14ac:dyDescent="0.35">
      <c r="A133" t="s">
        <v>502</v>
      </c>
      <c r="B133" t="s">
        <v>503</v>
      </c>
      <c r="C133" t="s">
        <v>475</v>
      </c>
      <c r="D133" t="s">
        <v>504</v>
      </c>
      <c r="E133" t="s">
        <v>34</v>
      </c>
      <c r="F133" t="s">
        <v>17</v>
      </c>
      <c r="G133" t="s">
        <v>35</v>
      </c>
      <c r="H133" t="s">
        <v>477</v>
      </c>
      <c r="I133" t="s">
        <v>505</v>
      </c>
      <c r="J133">
        <f>1</f>
        <v>1</v>
      </c>
      <c r="K133" t="s">
        <v>507</v>
      </c>
      <c r="L133" t="s">
        <v>506</v>
      </c>
    </row>
    <row r="134" spans="1:12" x14ac:dyDescent="0.35">
      <c r="J134">
        <f>2</f>
        <v>2</v>
      </c>
      <c r="K134" t="s">
        <v>508</v>
      </c>
    </row>
    <row r="135" spans="1:12" x14ac:dyDescent="0.35">
      <c r="A135" t="s">
        <v>509</v>
      </c>
      <c r="B135" t="s">
        <v>510</v>
      </c>
      <c r="C135" t="s">
        <v>511</v>
      </c>
      <c r="D135" t="s">
        <v>512</v>
      </c>
      <c r="E135" t="s">
        <v>16</v>
      </c>
      <c r="F135" t="s">
        <v>17</v>
      </c>
      <c r="G135" t="s">
        <v>18</v>
      </c>
      <c r="H135" t="s">
        <v>513</v>
      </c>
      <c r="I135" t="s">
        <v>514</v>
      </c>
      <c r="J135">
        <f>1</f>
        <v>1</v>
      </c>
      <c r="K135" t="s">
        <v>516</v>
      </c>
      <c r="L135" t="s">
        <v>515</v>
      </c>
    </row>
    <row r="136" spans="1:12" x14ac:dyDescent="0.35">
      <c r="J136">
        <f>2</f>
        <v>2</v>
      </c>
      <c r="K136" t="s">
        <v>264</v>
      </c>
    </row>
    <row r="137" spans="1:12" x14ac:dyDescent="0.35">
      <c r="A137" t="s">
        <v>517</v>
      </c>
      <c r="B137" t="s">
        <v>518</v>
      </c>
      <c r="C137" t="s">
        <v>511</v>
      </c>
      <c r="D137" t="s">
        <v>512</v>
      </c>
      <c r="E137" t="s">
        <v>16</v>
      </c>
      <c r="F137" t="s">
        <v>17</v>
      </c>
      <c r="G137" t="s">
        <v>18</v>
      </c>
      <c r="H137" t="s">
        <v>519</v>
      </c>
      <c r="I137" t="s">
        <v>520</v>
      </c>
      <c r="J137">
        <f>1</f>
        <v>1</v>
      </c>
      <c r="K137" t="s">
        <v>522</v>
      </c>
      <c r="L137" t="s">
        <v>521</v>
      </c>
    </row>
    <row r="138" spans="1:12" x14ac:dyDescent="0.35">
      <c r="J138">
        <f>2</f>
        <v>2</v>
      </c>
      <c r="K138" t="s">
        <v>523</v>
      </c>
    </row>
    <row r="139" spans="1:12" x14ac:dyDescent="0.35">
      <c r="A139" t="s">
        <v>524</v>
      </c>
      <c r="B139" t="s">
        <v>525</v>
      </c>
      <c r="C139" t="s">
        <v>511</v>
      </c>
      <c r="D139" t="s">
        <v>526</v>
      </c>
      <c r="E139" t="s">
        <v>16</v>
      </c>
      <c r="F139" t="s">
        <v>17</v>
      </c>
      <c r="G139" t="s">
        <v>93</v>
      </c>
      <c r="H139" t="s">
        <v>513</v>
      </c>
      <c r="I139" t="s">
        <v>527</v>
      </c>
      <c r="J139">
        <f>1</f>
        <v>1</v>
      </c>
      <c r="K139" t="s">
        <v>529</v>
      </c>
      <c r="L139" t="s">
        <v>528</v>
      </c>
    </row>
    <row r="140" spans="1:12" x14ac:dyDescent="0.35">
      <c r="A140" t="s">
        <v>530</v>
      </c>
      <c r="B140" t="s">
        <v>531</v>
      </c>
      <c r="C140" t="s">
        <v>511</v>
      </c>
      <c r="D140" t="s">
        <v>532</v>
      </c>
      <c r="E140" t="s">
        <v>16</v>
      </c>
      <c r="F140" t="s">
        <v>17</v>
      </c>
      <c r="G140" t="s">
        <v>93</v>
      </c>
      <c r="H140" t="s">
        <v>533</v>
      </c>
      <c r="I140" t="s">
        <v>534</v>
      </c>
      <c r="J140">
        <f>1</f>
        <v>1</v>
      </c>
      <c r="K140" t="s">
        <v>536</v>
      </c>
      <c r="L140" t="s">
        <v>535</v>
      </c>
    </row>
    <row r="141" spans="1:12" x14ac:dyDescent="0.35">
      <c r="J141">
        <f>2</f>
        <v>2</v>
      </c>
      <c r="K141" t="s">
        <v>537</v>
      </c>
    </row>
    <row r="142" spans="1:12" x14ac:dyDescent="0.35">
      <c r="A142" t="s">
        <v>538</v>
      </c>
      <c r="B142" t="s">
        <v>539</v>
      </c>
      <c r="C142" t="s">
        <v>511</v>
      </c>
      <c r="D142" t="s">
        <v>540</v>
      </c>
      <c r="E142" t="s">
        <v>34</v>
      </c>
      <c r="F142" t="s">
        <v>17</v>
      </c>
      <c r="G142" t="s">
        <v>35</v>
      </c>
      <c r="H142" t="s">
        <v>533</v>
      </c>
      <c r="I142" t="s">
        <v>541</v>
      </c>
      <c r="J142">
        <f>1</f>
        <v>1</v>
      </c>
      <c r="K142" t="s">
        <v>543</v>
      </c>
      <c r="L142" t="s">
        <v>542</v>
      </c>
    </row>
    <row r="143" spans="1:12" x14ac:dyDescent="0.35">
      <c r="A143" t="s">
        <v>544</v>
      </c>
      <c r="B143" t="s">
        <v>545</v>
      </c>
      <c r="C143" t="s">
        <v>511</v>
      </c>
      <c r="D143" t="s">
        <v>546</v>
      </c>
      <c r="E143" t="s">
        <v>16</v>
      </c>
      <c r="F143" t="s">
        <v>17</v>
      </c>
      <c r="G143" t="s">
        <v>93</v>
      </c>
      <c r="H143" t="s">
        <v>533</v>
      </c>
      <c r="I143" t="s">
        <v>547</v>
      </c>
      <c r="J143">
        <f>1</f>
        <v>1</v>
      </c>
      <c r="K143" t="s">
        <v>549</v>
      </c>
      <c r="L143" t="s">
        <v>548</v>
      </c>
    </row>
    <row r="144" spans="1:12" x14ac:dyDescent="0.35">
      <c r="A144" t="s">
        <v>550</v>
      </c>
      <c r="B144" t="s">
        <v>551</v>
      </c>
      <c r="C144" t="s">
        <v>511</v>
      </c>
      <c r="D144" t="s">
        <v>552</v>
      </c>
      <c r="E144" t="s">
        <v>34</v>
      </c>
      <c r="F144" t="s">
        <v>17</v>
      </c>
      <c r="G144" t="s">
        <v>93</v>
      </c>
      <c r="H144" t="s">
        <v>533</v>
      </c>
      <c r="I144" t="s">
        <v>553</v>
      </c>
      <c r="J144">
        <f>1</f>
        <v>1</v>
      </c>
      <c r="K144" t="s">
        <v>555</v>
      </c>
      <c r="L144" t="s">
        <v>554</v>
      </c>
    </row>
    <row r="145" spans="1:12" x14ac:dyDescent="0.35">
      <c r="J145">
        <f>2</f>
        <v>2</v>
      </c>
      <c r="K145" t="s">
        <v>264</v>
      </c>
    </row>
    <row r="146" spans="1:12" x14ac:dyDescent="0.35">
      <c r="A146" t="s">
        <v>556</v>
      </c>
      <c r="B146" t="s">
        <v>557</v>
      </c>
      <c r="C146" t="s">
        <v>511</v>
      </c>
      <c r="D146" t="s">
        <v>558</v>
      </c>
      <c r="E146" t="s">
        <v>16</v>
      </c>
      <c r="F146" t="s">
        <v>17</v>
      </c>
      <c r="G146" t="s">
        <v>224</v>
      </c>
      <c r="H146" t="s">
        <v>252</v>
      </c>
      <c r="I146" t="s">
        <v>283</v>
      </c>
      <c r="J146">
        <f>1</f>
        <v>1</v>
      </c>
      <c r="K146" t="s">
        <v>559</v>
      </c>
      <c r="L146" t="s">
        <v>289</v>
      </c>
    </row>
    <row r="147" spans="1:12" x14ac:dyDescent="0.35">
      <c r="A147" t="s">
        <v>560</v>
      </c>
      <c r="B147" t="s">
        <v>561</v>
      </c>
      <c r="C147" t="s">
        <v>511</v>
      </c>
      <c r="D147" t="s">
        <v>562</v>
      </c>
      <c r="E147" t="s">
        <v>34</v>
      </c>
      <c r="F147" t="s">
        <v>17</v>
      </c>
      <c r="G147" t="s">
        <v>35</v>
      </c>
      <c r="H147" t="s">
        <v>299</v>
      </c>
      <c r="I147" t="s">
        <v>283</v>
      </c>
      <c r="J147">
        <f>1</f>
        <v>1</v>
      </c>
      <c r="K147" t="s">
        <v>564</v>
      </c>
      <c r="L147" t="s">
        <v>563</v>
      </c>
    </row>
    <row r="148" spans="1:12" x14ac:dyDescent="0.35">
      <c r="A148" t="s">
        <v>565</v>
      </c>
      <c r="B148" t="s">
        <v>566</v>
      </c>
      <c r="C148" t="s">
        <v>511</v>
      </c>
      <c r="D148" t="s">
        <v>567</v>
      </c>
      <c r="E148" t="s">
        <v>34</v>
      </c>
      <c r="F148" t="s">
        <v>17</v>
      </c>
      <c r="G148" t="s">
        <v>18</v>
      </c>
      <c r="H148" t="s">
        <v>533</v>
      </c>
      <c r="I148" t="s">
        <v>568</v>
      </c>
      <c r="J148">
        <f>1</f>
        <v>1</v>
      </c>
      <c r="K148" t="s">
        <v>570</v>
      </c>
      <c r="L148" t="s">
        <v>569</v>
      </c>
    </row>
    <row r="149" spans="1:12" x14ac:dyDescent="0.35">
      <c r="J149">
        <f>2</f>
        <v>2</v>
      </c>
      <c r="K149" t="s">
        <v>571</v>
      </c>
    </row>
    <row r="150" spans="1:12" x14ac:dyDescent="0.35">
      <c r="A150" t="s">
        <v>572</v>
      </c>
      <c r="B150" t="s">
        <v>573</v>
      </c>
      <c r="C150" t="s">
        <v>511</v>
      </c>
      <c r="D150" t="s">
        <v>574</v>
      </c>
      <c r="E150" t="s">
        <v>318</v>
      </c>
      <c r="F150" t="s">
        <v>17</v>
      </c>
      <c r="G150" t="s">
        <v>319</v>
      </c>
      <c r="H150" t="s">
        <v>575</v>
      </c>
      <c r="I150" t="s">
        <v>283</v>
      </c>
      <c r="J150">
        <f>1</f>
        <v>1</v>
      </c>
      <c r="K150" t="s">
        <v>577</v>
      </c>
      <c r="L150" t="s">
        <v>576</v>
      </c>
    </row>
    <row r="151" spans="1:12" x14ac:dyDescent="0.35">
      <c r="J151">
        <f>2</f>
        <v>2</v>
      </c>
      <c r="K151" t="s">
        <v>578</v>
      </c>
    </row>
    <row r="152" spans="1:12" x14ac:dyDescent="0.35">
      <c r="A152" t="s">
        <v>579</v>
      </c>
      <c r="B152" t="s">
        <v>580</v>
      </c>
      <c r="C152" t="s">
        <v>581</v>
      </c>
      <c r="D152" t="s">
        <v>582</v>
      </c>
      <c r="E152" t="s">
        <v>16</v>
      </c>
      <c r="F152" t="s">
        <v>17</v>
      </c>
      <c r="G152" t="s">
        <v>18</v>
      </c>
      <c r="H152" t="s">
        <v>583</v>
      </c>
      <c r="I152" t="s">
        <v>584</v>
      </c>
      <c r="J152">
        <f>1</f>
        <v>1</v>
      </c>
      <c r="K152" t="s">
        <v>586</v>
      </c>
      <c r="L152" t="s">
        <v>585</v>
      </c>
    </row>
    <row r="153" spans="1:12" x14ac:dyDescent="0.35">
      <c r="J153">
        <f>2</f>
        <v>2</v>
      </c>
      <c r="K153" t="s">
        <v>264</v>
      </c>
    </row>
    <row r="154" spans="1:12" x14ac:dyDescent="0.35">
      <c r="A154" t="s">
        <v>587</v>
      </c>
      <c r="B154" t="s">
        <v>588</v>
      </c>
      <c r="C154" t="s">
        <v>581</v>
      </c>
      <c r="D154" t="s">
        <v>589</v>
      </c>
      <c r="E154" t="s">
        <v>16</v>
      </c>
      <c r="F154" t="s">
        <v>17</v>
      </c>
      <c r="G154" t="s">
        <v>93</v>
      </c>
      <c r="H154" t="s">
        <v>590</v>
      </c>
      <c r="I154" t="s">
        <v>591</v>
      </c>
      <c r="J154">
        <f>1</f>
        <v>1</v>
      </c>
      <c r="K154" t="s">
        <v>593</v>
      </c>
      <c r="L154" t="s">
        <v>592</v>
      </c>
    </row>
    <row r="155" spans="1:12" x14ac:dyDescent="0.35">
      <c r="J155">
        <f>2</f>
        <v>2</v>
      </c>
      <c r="K155" t="s">
        <v>264</v>
      </c>
    </row>
    <row r="156" spans="1:12" x14ac:dyDescent="0.35">
      <c r="A156" t="s">
        <v>594</v>
      </c>
      <c r="B156" t="s">
        <v>595</v>
      </c>
      <c r="C156" t="s">
        <v>581</v>
      </c>
      <c r="D156" t="s">
        <v>596</v>
      </c>
      <c r="E156" t="s">
        <v>34</v>
      </c>
      <c r="F156" t="s">
        <v>101</v>
      </c>
      <c r="G156" t="s">
        <v>45</v>
      </c>
      <c r="H156" t="s">
        <v>102</v>
      </c>
      <c r="I156" t="s">
        <v>597</v>
      </c>
      <c r="J156">
        <f>1</f>
        <v>1</v>
      </c>
      <c r="K156" t="s">
        <v>599</v>
      </c>
      <c r="L156" t="s">
        <v>598</v>
      </c>
    </row>
    <row r="157" spans="1:12" x14ac:dyDescent="0.35">
      <c r="J157">
        <f>2</f>
        <v>2</v>
      </c>
      <c r="K157" t="s">
        <v>600</v>
      </c>
    </row>
    <row r="158" spans="1:12" x14ac:dyDescent="0.35">
      <c r="A158" t="s">
        <v>601</v>
      </c>
      <c r="B158" t="s">
        <v>602</v>
      </c>
      <c r="C158" t="s">
        <v>581</v>
      </c>
      <c r="D158" t="s">
        <v>603</v>
      </c>
      <c r="E158" t="s">
        <v>34</v>
      </c>
      <c r="F158" t="s">
        <v>101</v>
      </c>
      <c r="G158" t="s">
        <v>18</v>
      </c>
      <c r="H158" t="s">
        <v>102</v>
      </c>
      <c r="I158" t="s">
        <v>604</v>
      </c>
      <c r="J158">
        <f>1</f>
        <v>1</v>
      </c>
      <c r="K158" t="s">
        <v>606</v>
      </c>
      <c r="L158" t="s">
        <v>605</v>
      </c>
    </row>
    <row r="159" spans="1:12" x14ac:dyDescent="0.35">
      <c r="J159">
        <f>2</f>
        <v>2</v>
      </c>
      <c r="K159" t="s">
        <v>607</v>
      </c>
    </row>
    <row r="160" spans="1:12" x14ac:dyDescent="0.35">
      <c r="A160" t="s">
        <v>608</v>
      </c>
      <c r="B160" t="s">
        <v>609</v>
      </c>
      <c r="C160" t="s">
        <v>581</v>
      </c>
      <c r="D160" t="s">
        <v>610</v>
      </c>
      <c r="E160" t="s">
        <v>318</v>
      </c>
      <c r="F160" t="s">
        <v>17</v>
      </c>
      <c r="G160" t="s">
        <v>319</v>
      </c>
      <c r="H160" t="s">
        <v>611</v>
      </c>
      <c r="I160" t="s">
        <v>283</v>
      </c>
      <c r="J160">
        <f>1</f>
        <v>1</v>
      </c>
      <c r="K160" t="s">
        <v>586</v>
      </c>
      <c r="L160" t="s">
        <v>612</v>
      </c>
    </row>
    <row r="161" spans="1:12" x14ac:dyDescent="0.35">
      <c r="J161">
        <f>2</f>
        <v>2</v>
      </c>
      <c r="K161" t="s">
        <v>613</v>
      </c>
    </row>
    <row r="162" spans="1:12" x14ac:dyDescent="0.35">
      <c r="A162" t="s">
        <v>614</v>
      </c>
      <c r="B162" t="s">
        <v>615</v>
      </c>
      <c r="C162" t="s">
        <v>616</v>
      </c>
      <c r="D162" t="s">
        <v>617</v>
      </c>
      <c r="E162" t="s">
        <v>16</v>
      </c>
      <c r="F162" t="s">
        <v>17</v>
      </c>
      <c r="G162" t="s">
        <v>18</v>
      </c>
      <c r="H162" t="s">
        <v>533</v>
      </c>
      <c r="I162" t="s">
        <v>618</v>
      </c>
      <c r="J162">
        <f>1</f>
        <v>1</v>
      </c>
      <c r="K162" t="s">
        <v>620</v>
      </c>
      <c r="L162" t="s">
        <v>619</v>
      </c>
    </row>
    <row r="163" spans="1:12" x14ac:dyDescent="0.35">
      <c r="J163">
        <f>2</f>
        <v>2</v>
      </c>
      <c r="K163" t="s">
        <v>621</v>
      </c>
    </row>
    <row r="164" spans="1:12" x14ac:dyDescent="0.35">
      <c r="A164" t="s">
        <v>622</v>
      </c>
      <c r="B164" t="s">
        <v>623</v>
      </c>
      <c r="C164" t="s">
        <v>616</v>
      </c>
      <c r="D164" t="s">
        <v>624</v>
      </c>
      <c r="E164" t="s">
        <v>16</v>
      </c>
      <c r="F164" t="s">
        <v>17</v>
      </c>
      <c r="G164" t="s">
        <v>93</v>
      </c>
      <c r="H164" t="s">
        <v>533</v>
      </c>
      <c r="I164" t="s">
        <v>625</v>
      </c>
      <c r="J164">
        <f>1</f>
        <v>1</v>
      </c>
      <c r="K164" t="s">
        <v>570</v>
      </c>
      <c r="L164" t="s">
        <v>626</v>
      </c>
    </row>
    <row r="165" spans="1:12" x14ac:dyDescent="0.35">
      <c r="J165">
        <f>2</f>
        <v>2</v>
      </c>
      <c r="K165" t="s">
        <v>627</v>
      </c>
    </row>
    <row r="166" spans="1:12" x14ac:dyDescent="0.35">
      <c r="A166" t="s">
        <v>628</v>
      </c>
      <c r="B166" t="s">
        <v>629</v>
      </c>
      <c r="C166" t="s">
        <v>616</v>
      </c>
      <c r="D166" t="s">
        <v>630</v>
      </c>
      <c r="E166" t="s">
        <v>16</v>
      </c>
      <c r="F166" t="s">
        <v>17</v>
      </c>
      <c r="G166" t="s">
        <v>93</v>
      </c>
      <c r="H166" t="s">
        <v>533</v>
      </c>
      <c r="I166" t="s">
        <v>631</v>
      </c>
      <c r="J166">
        <f>1</f>
        <v>1</v>
      </c>
      <c r="K166" t="s">
        <v>633</v>
      </c>
      <c r="L166" t="s">
        <v>632</v>
      </c>
    </row>
    <row r="167" spans="1:12" x14ac:dyDescent="0.35">
      <c r="A167" t="s">
        <v>634</v>
      </c>
      <c r="B167" t="s">
        <v>635</v>
      </c>
      <c r="C167" t="s">
        <v>616</v>
      </c>
      <c r="D167" t="s">
        <v>636</v>
      </c>
      <c r="E167" t="s">
        <v>34</v>
      </c>
      <c r="F167" t="s">
        <v>17</v>
      </c>
      <c r="G167" t="s">
        <v>35</v>
      </c>
      <c r="H167" t="s">
        <v>533</v>
      </c>
      <c r="I167" t="s">
        <v>637</v>
      </c>
      <c r="J167">
        <f>1</f>
        <v>1</v>
      </c>
      <c r="K167" t="s">
        <v>639</v>
      </c>
      <c r="L167" t="s">
        <v>638</v>
      </c>
    </row>
    <row r="168" spans="1:12" x14ac:dyDescent="0.35">
      <c r="A168" t="s">
        <v>640</v>
      </c>
      <c r="B168" t="s">
        <v>641</v>
      </c>
      <c r="C168" t="s">
        <v>616</v>
      </c>
      <c r="D168" t="s">
        <v>567</v>
      </c>
      <c r="E168" t="s">
        <v>34</v>
      </c>
      <c r="F168" t="s">
        <v>17</v>
      </c>
      <c r="G168" t="s">
        <v>18</v>
      </c>
      <c r="H168" t="s">
        <v>642</v>
      </c>
      <c r="I168" t="s">
        <v>643</v>
      </c>
      <c r="J168">
        <f>1</f>
        <v>1</v>
      </c>
      <c r="K168" t="s">
        <v>645</v>
      </c>
      <c r="L168" t="s">
        <v>644</v>
      </c>
    </row>
    <row r="169" spans="1:12" x14ac:dyDescent="0.35">
      <c r="J169">
        <f>2</f>
        <v>2</v>
      </c>
      <c r="K169" t="s">
        <v>646</v>
      </c>
    </row>
    <row r="170" spans="1:12" x14ac:dyDescent="0.35">
      <c r="A170" t="s">
        <v>647</v>
      </c>
      <c r="B170" t="s">
        <v>648</v>
      </c>
      <c r="C170" t="s">
        <v>649</v>
      </c>
      <c r="D170" t="s">
        <v>650</v>
      </c>
      <c r="E170" t="s">
        <v>16</v>
      </c>
      <c r="F170" t="s">
        <v>17</v>
      </c>
      <c r="G170" t="s">
        <v>18</v>
      </c>
      <c r="H170" t="s">
        <v>651</v>
      </c>
      <c r="I170" t="s">
        <v>652</v>
      </c>
      <c r="J170">
        <f>1</f>
        <v>1</v>
      </c>
      <c r="K170" t="s">
        <v>654</v>
      </c>
      <c r="L170" t="s">
        <v>653</v>
      </c>
    </row>
    <row r="171" spans="1:12" x14ac:dyDescent="0.35">
      <c r="J171">
        <f>2</f>
        <v>2</v>
      </c>
      <c r="K171" t="s">
        <v>655</v>
      </c>
    </row>
    <row r="172" spans="1:12" x14ac:dyDescent="0.35">
      <c r="A172" t="s">
        <v>656</v>
      </c>
      <c r="B172" t="s">
        <v>657</v>
      </c>
      <c r="C172" t="s">
        <v>649</v>
      </c>
      <c r="D172" t="s">
        <v>658</v>
      </c>
      <c r="E172" t="s">
        <v>34</v>
      </c>
      <c r="F172" t="s">
        <v>17</v>
      </c>
      <c r="G172" t="s">
        <v>35</v>
      </c>
      <c r="H172" t="s">
        <v>651</v>
      </c>
      <c r="I172" t="s">
        <v>659</v>
      </c>
      <c r="J172">
        <f>1</f>
        <v>1</v>
      </c>
      <c r="K172" t="s">
        <v>661</v>
      </c>
      <c r="L172" t="s">
        <v>660</v>
      </c>
    </row>
    <row r="173" spans="1:12" x14ac:dyDescent="0.35">
      <c r="J173">
        <f>2</f>
        <v>2</v>
      </c>
      <c r="K173" t="s">
        <v>662</v>
      </c>
    </row>
    <row r="174" spans="1:12" x14ac:dyDescent="0.35">
      <c r="A174" t="s">
        <v>663</v>
      </c>
      <c r="B174" t="s">
        <v>664</v>
      </c>
      <c r="C174" t="s">
        <v>649</v>
      </c>
      <c r="D174" t="s">
        <v>665</v>
      </c>
      <c r="E174" t="s">
        <v>16</v>
      </c>
      <c r="F174" t="s">
        <v>17</v>
      </c>
      <c r="G174" t="s">
        <v>93</v>
      </c>
      <c r="H174" t="s">
        <v>651</v>
      </c>
      <c r="I174" t="s">
        <v>666</v>
      </c>
      <c r="J174">
        <f>1</f>
        <v>1</v>
      </c>
      <c r="K174" t="s">
        <v>668</v>
      </c>
      <c r="L174" t="s">
        <v>667</v>
      </c>
    </row>
    <row r="175" spans="1:12" x14ac:dyDescent="0.35">
      <c r="J175">
        <f>2</f>
        <v>2</v>
      </c>
      <c r="K175" t="s">
        <v>662</v>
      </c>
    </row>
    <row r="176" spans="1:12" x14ac:dyDescent="0.35">
      <c r="A176" t="s">
        <v>669</v>
      </c>
      <c r="B176" t="s">
        <v>670</v>
      </c>
      <c r="C176" t="s">
        <v>649</v>
      </c>
      <c r="D176" t="s">
        <v>671</v>
      </c>
      <c r="E176" t="s">
        <v>16</v>
      </c>
      <c r="F176" t="s">
        <v>17</v>
      </c>
      <c r="G176" t="s">
        <v>93</v>
      </c>
      <c r="H176" t="s">
        <v>651</v>
      </c>
      <c r="I176" t="s">
        <v>672</v>
      </c>
      <c r="J176">
        <f>1</f>
        <v>1</v>
      </c>
      <c r="K176" t="s">
        <v>674</v>
      </c>
      <c r="L176" t="s">
        <v>673</v>
      </c>
    </row>
    <row r="177" spans="1:12" x14ac:dyDescent="0.35">
      <c r="A177" t="s">
        <v>675</v>
      </c>
      <c r="B177" t="s">
        <v>676</v>
      </c>
      <c r="C177" t="s">
        <v>649</v>
      </c>
      <c r="D177" t="s">
        <v>677</v>
      </c>
      <c r="E177" t="s">
        <v>34</v>
      </c>
      <c r="F177" t="s">
        <v>17</v>
      </c>
      <c r="G177" t="s">
        <v>18</v>
      </c>
      <c r="H177" t="s">
        <v>642</v>
      </c>
      <c r="I177" t="s">
        <v>678</v>
      </c>
      <c r="J177">
        <f>1</f>
        <v>1</v>
      </c>
      <c r="K177" t="s">
        <v>680</v>
      </c>
      <c r="L177" t="s">
        <v>679</v>
      </c>
    </row>
    <row r="178" spans="1:12" x14ac:dyDescent="0.35">
      <c r="J178">
        <f>2</f>
        <v>2</v>
      </c>
      <c r="K178" t="s">
        <v>681</v>
      </c>
    </row>
    <row r="179" spans="1:12" x14ac:dyDescent="0.35">
      <c r="A179" t="s">
        <v>682</v>
      </c>
      <c r="B179" t="s">
        <v>683</v>
      </c>
      <c r="C179" t="s">
        <v>684</v>
      </c>
      <c r="D179" t="s">
        <v>685</v>
      </c>
      <c r="E179" t="s">
        <v>16</v>
      </c>
      <c r="F179" t="s">
        <v>17</v>
      </c>
      <c r="G179" t="s">
        <v>18</v>
      </c>
      <c r="H179" t="s">
        <v>686</v>
      </c>
      <c r="I179" t="s">
        <v>687</v>
      </c>
      <c r="J179">
        <f>1</f>
        <v>1</v>
      </c>
      <c r="K179" t="s">
        <v>689</v>
      </c>
      <c r="L179" t="s">
        <v>688</v>
      </c>
    </row>
    <row r="180" spans="1:12" x14ac:dyDescent="0.35">
      <c r="J180">
        <f>2</f>
        <v>2</v>
      </c>
      <c r="K180" t="s">
        <v>264</v>
      </c>
    </row>
    <row r="181" spans="1:12" x14ac:dyDescent="0.35">
      <c r="A181" t="s">
        <v>690</v>
      </c>
      <c r="B181" t="s">
        <v>691</v>
      </c>
      <c r="C181" t="s">
        <v>684</v>
      </c>
      <c r="D181" t="s">
        <v>692</v>
      </c>
      <c r="E181" t="s">
        <v>16</v>
      </c>
      <c r="F181" t="s">
        <v>17</v>
      </c>
      <c r="G181" t="s">
        <v>18</v>
      </c>
      <c r="H181" t="s">
        <v>693</v>
      </c>
      <c r="I181" t="s">
        <v>694</v>
      </c>
      <c r="J181">
        <f>1</f>
        <v>1</v>
      </c>
      <c r="K181" t="s">
        <v>696</v>
      </c>
      <c r="L181" t="s">
        <v>695</v>
      </c>
    </row>
    <row r="182" spans="1:12" x14ac:dyDescent="0.35">
      <c r="J182">
        <f>2</f>
        <v>2</v>
      </c>
      <c r="K182" t="s">
        <v>697</v>
      </c>
    </row>
    <row r="183" spans="1:12" x14ac:dyDescent="0.35">
      <c r="A183" t="s">
        <v>698</v>
      </c>
      <c r="B183" t="s">
        <v>699</v>
      </c>
      <c r="C183" t="s">
        <v>684</v>
      </c>
      <c r="D183" t="s">
        <v>700</v>
      </c>
      <c r="E183" t="s">
        <v>16</v>
      </c>
      <c r="F183" t="s">
        <v>17</v>
      </c>
      <c r="G183" t="s">
        <v>18</v>
      </c>
      <c r="H183" t="s">
        <v>70</v>
      </c>
      <c r="I183" t="s">
        <v>61</v>
      </c>
      <c r="J183">
        <f>1</f>
        <v>1</v>
      </c>
      <c r="K183" t="s">
        <v>702</v>
      </c>
      <c r="L183" t="s">
        <v>701</v>
      </c>
    </row>
    <row r="184" spans="1:12" x14ac:dyDescent="0.35">
      <c r="J184">
        <f>2</f>
        <v>2</v>
      </c>
      <c r="K184" t="s">
        <v>703</v>
      </c>
    </row>
    <row r="185" spans="1:12" x14ac:dyDescent="0.35">
      <c r="A185" t="s">
        <v>704</v>
      </c>
      <c r="B185" t="s">
        <v>705</v>
      </c>
      <c r="C185" t="s">
        <v>684</v>
      </c>
      <c r="D185" t="s">
        <v>706</v>
      </c>
      <c r="E185" t="s">
        <v>34</v>
      </c>
      <c r="F185" t="s">
        <v>17</v>
      </c>
      <c r="G185" t="s">
        <v>35</v>
      </c>
      <c r="H185" t="s">
        <v>693</v>
      </c>
      <c r="I185" t="s">
        <v>707</v>
      </c>
      <c r="J185">
        <f>1</f>
        <v>1</v>
      </c>
      <c r="K185" t="s">
        <v>709</v>
      </c>
      <c r="L185" t="s">
        <v>708</v>
      </c>
    </row>
    <row r="186" spans="1:12" x14ac:dyDescent="0.35">
      <c r="J186">
        <f>2</f>
        <v>2</v>
      </c>
      <c r="K186" t="s">
        <v>627</v>
      </c>
    </row>
    <row r="187" spans="1:12" x14ac:dyDescent="0.35">
      <c r="A187" t="s">
        <v>710</v>
      </c>
      <c r="B187" t="s">
        <v>711</v>
      </c>
      <c r="C187" t="s">
        <v>684</v>
      </c>
      <c r="D187" t="s">
        <v>712</v>
      </c>
      <c r="E187" t="s">
        <v>34</v>
      </c>
      <c r="F187" t="s">
        <v>17</v>
      </c>
      <c r="G187" t="s">
        <v>93</v>
      </c>
      <c r="H187" t="s">
        <v>713</v>
      </c>
      <c r="I187" t="s">
        <v>714</v>
      </c>
      <c r="J187">
        <f>1</f>
        <v>1</v>
      </c>
      <c r="K187" t="s">
        <v>716</v>
      </c>
      <c r="L187" t="s">
        <v>715</v>
      </c>
    </row>
    <row r="188" spans="1:12" x14ac:dyDescent="0.35">
      <c r="J188">
        <f>2</f>
        <v>2</v>
      </c>
      <c r="K188" t="s">
        <v>717</v>
      </c>
    </row>
    <row r="189" spans="1:12" x14ac:dyDescent="0.35">
      <c r="A189" t="s">
        <v>718</v>
      </c>
      <c r="B189" t="s">
        <v>719</v>
      </c>
      <c r="C189" t="s">
        <v>684</v>
      </c>
      <c r="D189" t="s">
        <v>720</v>
      </c>
      <c r="E189" t="s">
        <v>34</v>
      </c>
      <c r="F189" t="s">
        <v>17</v>
      </c>
      <c r="G189" t="s">
        <v>93</v>
      </c>
      <c r="H189" t="s">
        <v>299</v>
      </c>
      <c r="I189" t="s">
        <v>721</v>
      </c>
      <c r="J189">
        <f>1</f>
        <v>1</v>
      </c>
      <c r="K189" t="s">
        <v>723</v>
      </c>
      <c r="L189" t="s">
        <v>722</v>
      </c>
    </row>
    <row r="190" spans="1:12" x14ac:dyDescent="0.35">
      <c r="A190" t="s">
        <v>724</v>
      </c>
      <c r="B190" t="s">
        <v>725</v>
      </c>
      <c r="C190" t="s">
        <v>684</v>
      </c>
      <c r="D190" t="s">
        <v>726</v>
      </c>
      <c r="E190" t="s">
        <v>34</v>
      </c>
      <c r="F190" t="s">
        <v>17</v>
      </c>
      <c r="G190" t="s">
        <v>93</v>
      </c>
      <c r="H190" t="s">
        <v>299</v>
      </c>
      <c r="I190" t="s">
        <v>721</v>
      </c>
      <c r="J190">
        <f>1</f>
        <v>1</v>
      </c>
      <c r="K190" t="s">
        <v>728</v>
      </c>
      <c r="L190" t="s">
        <v>727</v>
      </c>
    </row>
    <row r="191" spans="1:12" x14ac:dyDescent="0.35">
      <c r="A191" t="s">
        <v>729</v>
      </c>
      <c r="B191" t="s">
        <v>730</v>
      </c>
      <c r="C191" t="s">
        <v>684</v>
      </c>
      <c r="D191" t="s">
        <v>720</v>
      </c>
      <c r="E191" t="s">
        <v>34</v>
      </c>
      <c r="F191" t="s">
        <v>17</v>
      </c>
      <c r="G191" t="s">
        <v>93</v>
      </c>
      <c r="H191" t="s">
        <v>299</v>
      </c>
      <c r="I191" t="s">
        <v>721</v>
      </c>
      <c r="J191">
        <f>1</f>
        <v>1</v>
      </c>
      <c r="K191" t="s">
        <v>732</v>
      </c>
      <c r="L191" t="s">
        <v>731</v>
      </c>
    </row>
    <row r="192" spans="1:12" x14ac:dyDescent="0.35">
      <c r="A192" t="s">
        <v>733</v>
      </c>
      <c r="B192" t="s">
        <v>734</v>
      </c>
      <c r="C192" t="s">
        <v>684</v>
      </c>
      <c r="D192" t="s">
        <v>735</v>
      </c>
      <c r="E192" t="s">
        <v>16</v>
      </c>
      <c r="F192" t="s">
        <v>17</v>
      </c>
      <c r="G192" t="s">
        <v>224</v>
      </c>
      <c r="H192" t="s">
        <v>252</v>
      </c>
      <c r="I192" t="s">
        <v>283</v>
      </c>
      <c r="J192">
        <f>1</f>
        <v>1</v>
      </c>
      <c r="K192" t="s">
        <v>736</v>
      </c>
      <c r="L192" t="s">
        <v>289</v>
      </c>
    </row>
    <row r="193" spans="1:12" x14ac:dyDescent="0.35">
      <c r="A193" t="s">
        <v>737</v>
      </c>
      <c r="B193" t="s">
        <v>738</v>
      </c>
      <c r="C193" t="s">
        <v>684</v>
      </c>
      <c r="D193" t="s">
        <v>739</v>
      </c>
      <c r="E193" t="s">
        <v>34</v>
      </c>
      <c r="F193" t="s">
        <v>17</v>
      </c>
      <c r="G193" t="s">
        <v>93</v>
      </c>
      <c r="H193" t="s">
        <v>70</v>
      </c>
      <c r="I193" t="s">
        <v>740</v>
      </c>
      <c r="J193">
        <f>1</f>
        <v>1</v>
      </c>
      <c r="K193" t="s">
        <v>742</v>
      </c>
      <c r="L193" t="s">
        <v>741</v>
      </c>
    </row>
    <row r="194" spans="1:12" x14ac:dyDescent="0.35">
      <c r="J194">
        <f>2</f>
        <v>2</v>
      </c>
      <c r="K194" t="s">
        <v>743</v>
      </c>
    </row>
    <row r="195" spans="1:12" x14ac:dyDescent="0.35">
      <c r="A195" t="s">
        <v>744</v>
      </c>
      <c r="B195" t="s">
        <v>745</v>
      </c>
      <c r="C195" t="s">
        <v>684</v>
      </c>
      <c r="D195" t="s">
        <v>746</v>
      </c>
      <c r="E195" t="s">
        <v>318</v>
      </c>
      <c r="F195" t="s">
        <v>17</v>
      </c>
      <c r="G195" t="s">
        <v>319</v>
      </c>
      <c r="H195" t="s">
        <v>747</v>
      </c>
      <c r="I195" t="s">
        <v>721</v>
      </c>
      <c r="J195">
        <f>1</f>
        <v>1</v>
      </c>
      <c r="K195" t="s">
        <v>749</v>
      </c>
      <c r="L195" t="s">
        <v>748</v>
      </c>
    </row>
    <row r="196" spans="1:12" x14ac:dyDescent="0.35">
      <c r="J196">
        <f>2</f>
        <v>2</v>
      </c>
      <c r="K196" t="s">
        <v>750</v>
      </c>
    </row>
    <row r="197" spans="1:12" x14ac:dyDescent="0.35">
      <c r="A197" t="s">
        <v>751</v>
      </c>
      <c r="B197" t="s">
        <v>752</v>
      </c>
      <c r="C197" t="s">
        <v>753</v>
      </c>
      <c r="D197" t="s">
        <v>754</v>
      </c>
      <c r="E197" t="s">
        <v>16</v>
      </c>
      <c r="F197" t="s">
        <v>44</v>
      </c>
      <c r="G197" t="s">
        <v>18</v>
      </c>
      <c r="H197" t="s">
        <v>755</v>
      </c>
      <c r="I197" t="s">
        <v>756</v>
      </c>
      <c r="J197">
        <f>1</f>
        <v>1</v>
      </c>
      <c r="K197" t="s">
        <v>758</v>
      </c>
      <c r="L197" t="s">
        <v>757</v>
      </c>
    </row>
    <row r="198" spans="1:12" x14ac:dyDescent="0.35">
      <c r="J198">
        <f>2</f>
        <v>2</v>
      </c>
      <c r="K198" t="s">
        <v>759</v>
      </c>
    </row>
    <row r="199" spans="1:12" x14ac:dyDescent="0.35">
      <c r="J199">
        <f>3</f>
        <v>3</v>
      </c>
      <c r="K199" t="s">
        <v>760</v>
      </c>
    </row>
    <row r="200" spans="1:12" x14ac:dyDescent="0.35">
      <c r="A200" t="s">
        <v>761</v>
      </c>
      <c r="B200" t="s">
        <v>762</v>
      </c>
      <c r="C200" t="s">
        <v>753</v>
      </c>
      <c r="D200" t="s">
        <v>763</v>
      </c>
      <c r="E200" t="s">
        <v>34</v>
      </c>
      <c r="F200" t="s">
        <v>44</v>
      </c>
      <c r="G200" t="s">
        <v>18</v>
      </c>
      <c r="H200" t="s">
        <v>102</v>
      </c>
      <c r="I200" t="s">
        <v>764</v>
      </c>
      <c r="J200">
        <f>1</f>
        <v>1</v>
      </c>
      <c r="K200" t="s">
        <v>766</v>
      </c>
      <c r="L200" t="s">
        <v>765</v>
      </c>
    </row>
    <row r="201" spans="1:12" x14ac:dyDescent="0.35">
      <c r="J201">
        <f>2</f>
        <v>2</v>
      </c>
      <c r="K201" t="s">
        <v>767</v>
      </c>
    </row>
    <row r="202" spans="1:12" x14ac:dyDescent="0.35">
      <c r="A202" t="s">
        <v>768</v>
      </c>
      <c r="B202" t="s">
        <v>769</v>
      </c>
      <c r="C202" t="s">
        <v>753</v>
      </c>
      <c r="D202" t="s">
        <v>770</v>
      </c>
      <c r="E202" t="s">
        <v>34</v>
      </c>
      <c r="F202" t="s">
        <v>101</v>
      </c>
      <c r="G202" t="s">
        <v>35</v>
      </c>
      <c r="H202" t="s">
        <v>102</v>
      </c>
      <c r="I202" t="s">
        <v>771</v>
      </c>
      <c r="J202">
        <f>1</f>
        <v>1</v>
      </c>
      <c r="K202" t="s">
        <v>773</v>
      </c>
      <c r="L202" t="s">
        <v>772</v>
      </c>
    </row>
    <row r="203" spans="1:12" x14ac:dyDescent="0.35">
      <c r="A203" t="s">
        <v>774</v>
      </c>
      <c r="B203" t="s">
        <v>775</v>
      </c>
      <c r="C203" t="s">
        <v>753</v>
      </c>
      <c r="D203" t="s">
        <v>776</v>
      </c>
      <c r="E203" t="s">
        <v>34</v>
      </c>
      <c r="F203" t="s">
        <v>101</v>
      </c>
      <c r="G203" t="s">
        <v>93</v>
      </c>
      <c r="H203" t="s">
        <v>102</v>
      </c>
      <c r="I203" t="s">
        <v>777</v>
      </c>
      <c r="J203">
        <f>1</f>
        <v>1</v>
      </c>
      <c r="K203" t="s">
        <v>779</v>
      </c>
      <c r="L203" t="s">
        <v>778</v>
      </c>
    </row>
    <row r="204" spans="1:12" x14ac:dyDescent="0.35">
      <c r="A204" t="s">
        <v>780</v>
      </c>
      <c r="B204" t="s">
        <v>781</v>
      </c>
      <c r="C204" t="s">
        <v>753</v>
      </c>
      <c r="D204" t="s">
        <v>782</v>
      </c>
      <c r="E204" t="s">
        <v>34</v>
      </c>
      <c r="F204" t="s">
        <v>101</v>
      </c>
      <c r="G204" t="s">
        <v>18</v>
      </c>
      <c r="H204" t="s">
        <v>102</v>
      </c>
      <c r="I204" t="s">
        <v>783</v>
      </c>
      <c r="J204">
        <f>1</f>
        <v>1</v>
      </c>
      <c r="K204" t="s">
        <v>785</v>
      </c>
      <c r="L204" t="s">
        <v>784</v>
      </c>
    </row>
    <row r="205" spans="1:12" x14ac:dyDescent="0.35">
      <c r="J205">
        <f>2</f>
        <v>2</v>
      </c>
      <c r="K205" t="s">
        <v>786</v>
      </c>
    </row>
    <row r="206" spans="1:12" x14ac:dyDescent="0.35">
      <c r="A206" t="s">
        <v>787</v>
      </c>
      <c r="B206" t="s">
        <v>788</v>
      </c>
      <c r="C206" t="s">
        <v>789</v>
      </c>
      <c r="D206" t="s">
        <v>790</v>
      </c>
      <c r="E206" t="s">
        <v>16</v>
      </c>
      <c r="F206" t="s">
        <v>44</v>
      </c>
      <c r="G206" t="s">
        <v>18</v>
      </c>
      <c r="H206" t="s">
        <v>755</v>
      </c>
      <c r="I206" t="s">
        <v>791</v>
      </c>
      <c r="J206">
        <f>1</f>
        <v>1</v>
      </c>
      <c r="K206" t="s">
        <v>793</v>
      </c>
      <c r="L206" t="s">
        <v>792</v>
      </c>
    </row>
    <row r="207" spans="1:12" x14ac:dyDescent="0.35">
      <c r="J207">
        <f>2</f>
        <v>2</v>
      </c>
      <c r="K207" t="s">
        <v>794</v>
      </c>
    </row>
    <row r="208" spans="1:12" x14ac:dyDescent="0.35">
      <c r="A208" t="s">
        <v>795</v>
      </c>
      <c r="B208" t="s">
        <v>796</v>
      </c>
      <c r="C208" t="s">
        <v>789</v>
      </c>
      <c r="D208" t="s">
        <v>797</v>
      </c>
      <c r="E208" t="s">
        <v>34</v>
      </c>
      <c r="F208" t="s">
        <v>101</v>
      </c>
      <c r="G208" t="s">
        <v>18</v>
      </c>
      <c r="H208" t="s">
        <v>102</v>
      </c>
      <c r="I208" t="s">
        <v>798</v>
      </c>
      <c r="J208">
        <f>1</f>
        <v>1</v>
      </c>
      <c r="K208" t="s">
        <v>800</v>
      </c>
      <c r="L208" t="s">
        <v>799</v>
      </c>
    </row>
    <row r="209" spans="1:12" x14ac:dyDescent="0.35">
      <c r="J209">
        <f>2</f>
        <v>2</v>
      </c>
      <c r="K209" t="s">
        <v>767</v>
      </c>
    </row>
    <row r="210" spans="1:12" x14ac:dyDescent="0.35">
      <c r="A210" t="s">
        <v>801</v>
      </c>
      <c r="B210" t="s">
        <v>802</v>
      </c>
      <c r="C210" t="s">
        <v>789</v>
      </c>
      <c r="D210" t="s">
        <v>803</v>
      </c>
      <c r="E210" t="s">
        <v>34</v>
      </c>
      <c r="F210" t="s">
        <v>101</v>
      </c>
      <c r="G210" t="s">
        <v>93</v>
      </c>
      <c r="H210" t="s">
        <v>102</v>
      </c>
      <c r="I210" t="s">
        <v>777</v>
      </c>
      <c r="J210">
        <f>1</f>
        <v>1</v>
      </c>
      <c r="K210" t="s">
        <v>805</v>
      </c>
      <c r="L210" t="s">
        <v>804</v>
      </c>
    </row>
    <row r="211" spans="1:12" x14ac:dyDescent="0.35">
      <c r="A211" t="s">
        <v>806</v>
      </c>
      <c r="B211" t="s">
        <v>807</v>
      </c>
      <c r="C211" t="s">
        <v>789</v>
      </c>
      <c r="D211" t="s">
        <v>808</v>
      </c>
      <c r="E211" t="s">
        <v>34</v>
      </c>
      <c r="F211" t="s">
        <v>101</v>
      </c>
      <c r="G211" t="s">
        <v>18</v>
      </c>
      <c r="H211" t="s">
        <v>102</v>
      </c>
      <c r="I211" t="s">
        <v>809</v>
      </c>
      <c r="J211">
        <f>1</f>
        <v>1</v>
      </c>
      <c r="K211" t="s">
        <v>811</v>
      </c>
      <c r="L211" t="s">
        <v>810</v>
      </c>
    </row>
    <row r="212" spans="1:12" x14ac:dyDescent="0.35">
      <c r="J212">
        <f>2</f>
        <v>2</v>
      </c>
      <c r="K212" t="s">
        <v>812</v>
      </c>
    </row>
    <row r="213" spans="1:12" x14ac:dyDescent="0.35">
      <c r="A213" t="s">
        <v>813</v>
      </c>
      <c r="B213" t="s">
        <v>814</v>
      </c>
      <c r="C213" t="s">
        <v>815</v>
      </c>
      <c r="D213" t="s">
        <v>816</v>
      </c>
      <c r="E213" t="s">
        <v>16</v>
      </c>
      <c r="F213" t="s">
        <v>44</v>
      </c>
      <c r="G213" t="s">
        <v>18</v>
      </c>
      <c r="H213" t="s">
        <v>755</v>
      </c>
      <c r="I213" t="s">
        <v>817</v>
      </c>
      <c r="J213">
        <f>1</f>
        <v>1</v>
      </c>
      <c r="K213" t="s">
        <v>819</v>
      </c>
      <c r="L213" t="s">
        <v>818</v>
      </c>
    </row>
    <row r="214" spans="1:12" x14ac:dyDescent="0.35">
      <c r="J214">
        <f>2</f>
        <v>2</v>
      </c>
      <c r="K214" t="s">
        <v>820</v>
      </c>
    </row>
    <row r="215" spans="1:12" x14ac:dyDescent="0.35">
      <c r="A215" t="s">
        <v>821</v>
      </c>
      <c r="B215" t="s">
        <v>822</v>
      </c>
      <c r="C215" t="s">
        <v>815</v>
      </c>
      <c r="D215" t="s">
        <v>823</v>
      </c>
      <c r="E215" t="s">
        <v>16</v>
      </c>
      <c r="F215" t="s">
        <v>101</v>
      </c>
      <c r="G215" t="s">
        <v>93</v>
      </c>
      <c r="H215" t="s">
        <v>102</v>
      </c>
      <c r="I215" t="s">
        <v>824</v>
      </c>
      <c r="J215">
        <f>1</f>
        <v>1</v>
      </c>
      <c r="K215" t="s">
        <v>826</v>
      </c>
      <c r="L215" t="s">
        <v>825</v>
      </c>
    </row>
    <row r="216" spans="1:12" x14ac:dyDescent="0.35">
      <c r="J216">
        <f>2</f>
        <v>2</v>
      </c>
      <c r="K216" t="s">
        <v>827</v>
      </c>
    </row>
    <row r="217" spans="1:12" x14ac:dyDescent="0.35">
      <c r="A217" t="s">
        <v>828</v>
      </c>
      <c r="B217" t="s">
        <v>829</v>
      </c>
      <c r="C217" t="s">
        <v>815</v>
      </c>
      <c r="D217" t="s">
        <v>830</v>
      </c>
      <c r="E217" t="s">
        <v>34</v>
      </c>
      <c r="F217" t="s">
        <v>101</v>
      </c>
      <c r="G217" t="s">
        <v>18</v>
      </c>
      <c r="H217" t="s">
        <v>102</v>
      </c>
      <c r="I217" t="s">
        <v>831</v>
      </c>
      <c r="J217">
        <f>1</f>
        <v>1</v>
      </c>
      <c r="K217" t="s">
        <v>826</v>
      </c>
      <c r="L217" t="s">
        <v>832</v>
      </c>
    </row>
    <row r="218" spans="1:12" x14ac:dyDescent="0.35">
      <c r="J218">
        <f>2</f>
        <v>2</v>
      </c>
      <c r="K218" t="s">
        <v>833</v>
      </c>
    </row>
    <row r="219" spans="1:12" x14ac:dyDescent="0.35">
      <c r="A219" t="s">
        <v>834</v>
      </c>
      <c r="B219" t="s">
        <v>835</v>
      </c>
      <c r="C219" t="s">
        <v>815</v>
      </c>
      <c r="D219" t="s">
        <v>836</v>
      </c>
      <c r="E219" t="s">
        <v>16</v>
      </c>
      <c r="F219" t="s">
        <v>101</v>
      </c>
      <c r="G219" t="s">
        <v>93</v>
      </c>
      <c r="H219" t="s">
        <v>102</v>
      </c>
      <c r="I219" t="s">
        <v>777</v>
      </c>
      <c r="J219">
        <f>1</f>
        <v>1</v>
      </c>
      <c r="K219" t="s">
        <v>838</v>
      </c>
      <c r="L219" t="s">
        <v>837</v>
      </c>
    </row>
    <row r="220" spans="1:12" x14ac:dyDescent="0.35">
      <c r="A220" t="s">
        <v>839</v>
      </c>
      <c r="B220" t="s">
        <v>840</v>
      </c>
      <c r="C220" t="s">
        <v>815</v>
      </c>
      <c r="D220" t="s">
        <v>841</v>
      </c>
      <c r="E220" t="s">
        <v>34</v>
      </c>
      <c r="F220" t="s">
        <v>101</v>
      </c>
      <c r="G220" t="s">
        <v>35</v>
      </c>
      <c r="H220" t="s">
        <v>102</v>
      </c>
      <c r="I220" t="s">
        <v>842</v>
      </c>
      <c r="J220">
        <f>1</f>
        <v>1</v>
      </c>
      <c r="K220" t="s">
        <v>844</v>
      </c>
      <c r="L220" t="s">
        <v>843</v>
      </c>
    </row>
    <row r="221" spans="1:12" x14ac:dyDescent="0.35">
      <c r="J221">
        <f>2</f>
        <v>2</v>
      </c>
      <c r="K221" t="s">
        <v>845</v>
      </c>
    </row>
    <row r="222" spans="1:12" x14ac:dyDescent="0.35">
      <c r="A222" t="s">
        <v>846</v>
      </c>
      <c r="B222" t="s">
        <v>847</v>
      </c>
      <c r="C222" t="s">
        <v>815</v>
      </c>
      <c r="D222" t="s">
        <v>848</v>
      </c>
      <c r="E222" t="s">
        <v>34</v>
      </c>
      <c r="F222" t="s">
        <v>101</v>
      </c>
      <c r="G222" t="s">
        <v>18</v>
      </c>
      <c r="H222" t="s">
        <v>102</v>
      </c>
      <c r="I222" t="s">
        <v>849</v>
      </c>
      <c r="J222">
        <f>1</f>
        <v>1</v>
      </c>
      <c r="K222" t="s">
        <v>851</v>
      </c>
      <c r="L222" t="s">
        <v>850</v>
      </c>
    </row>
    <row r="223" spans="1:12" x14ac:dyDescent="0.35">
      <c r="J223">
        <f>2</f>
        <v>2</v>
      </c>
      <c r="K223" t="s">
        <v>852</v>
      </c>
    </row>
    <row r="224" spans="1:12" x14ac:dyDescent="0.35">
      <c r="A224" t="s">
        <v>853</v>
      </c>
      <c r="B224" t="s">
        <v>854</v>
      </c>
      <c r="C224" t="s">
        <v>224</v>
      </c>
      <c r="D224" t="s">
        <v>855</v>
      </c>
      <c r="E224" t="s">
        <v>16</v>
      </c>
      <c r="F224" t="s">
        <v>17</v>
      </c>
      <c r="G224" t="s">
        <v>224</v>
      </c>
      <c r="H224" t="s">
        <v>252</v>
      </c>
      <c r="I224" t="s">
        <v>283</v>
      </c>
      <c r="J224">
        <f>1</f>
        <v>1</v>
      </c>
      <c r="K224" t="s">
        <v>857</v>
      </c>
      <c r="L224" t="s">
        <v>856</v>
      </c>
    </row>
    <row r="225" spans="1:12" x14ac:dyDescent="0.35">
      <c r="A225" t="s">
        <v>858</v>
      </c>
      <c r="B225" t="s">
        <v>859</v>
      </c>
      <c r="C225" t="s">
        <v>224</v>
      </c>
      <c r="D225" t="s">
        <v>860</v>
      </c>
      <c r="E225" t="s">
        <v>34</v>
      </c>
      <c r="F225" t="s">
        <v>17</v>
      </c>
      <c r="G225" t="s">
        <v>224</v>
      </c>
      <c r="H225" t="s">
        <v>148</v>
      </c>
      <c r="I225" t="s">
        <v>283</v>
      </c>
      <c r="J225">
        <f>1</f>
        <v>1</v>
      </c>
      <c r="K225" t="s">
        <v>862</v>
      </c>
      <c r="L225" t="s">
        <v>861</v>
      </c>
    </row>
    <row r="226" spans="1:12" x14ac:dyDescent="0.35">
      <c r="J226">
        <f>2</f>
        <v>2</v>
      </c>
      <c r="K226" t="s">
        <v>863</v>
      </c>
    </row>
    <row r="227" spans="1:12" x14ac:dyDescent="0.35">
      <c r="A227" t="s">
        <v>864</v>
      </c>
      <c r="B227" t="s">
        <v>865</v>
      </c>
      <c r="C227" t="s">
        <v>224</v>
      </c>
      <c r="D227" t="s">
        <v>866</v>
      </c>
      <c r="E227" t="s">
        <v>16</v>
      </c>
      <c r="F227" t="s">
        <v>17</v>
      </c>
      <c r="G227" t="s">
        <v>224</v>
      </c>
      <c r="H227" t="s">
        <v>225</v>
      </c>
      <c r="I227" t="s">
        <v>867</v>
      </c>
      <c r="J227">
        <f>1</f>
        <v>1</v>
      </c>
      <c r="K227" t="s">
        <v>227</v>
      </c>
      <c r="L227" t="s">
        <v>868</v>
      </c>
    </row>
    <row r="228" spans="1:12" x14ac:dyDescent="0.35">
      <c r="J228">
        <f>2</f>
        <v>2</v>
      </c>
      <c r="K228" t="s">
        <v>869</v>
      </c>
    </row>
    <row r="229" spans="1:12" x14ac:dyDescent="0.35">
      <c r="A229" t="s">
        <v>870</v>
      </c>
      <c r="B229" t="s">
        <v>871</v>
      </c>
      <c r="C229" t="s">
        <v>224</v>
      </c>
      <c r="D229" t="s">
        <v>872</v>
      </c>
      <c r="E229" t="s">
        <v>16</v>
      </c>
      <c r="F229" t="s">
        <v>101</v>
      </c>
      <c r="G229" t="s">
        <v>224</v>
      </c>
      <c r="H229" t="s">
        <v>102</v>
      </c>
      <c r="I229" t="s">
        <v>873</v>
      </c>
      <c r="J229">
        <f>1</f>
        <v>1</v>
      </c>
      <c r="K229" t="s">
        <v>875</v>
      </c>
      <c r="L229" t="s">
        <v>874</v>
      </c>
    </row>
    <row r="230" spans="1:12" x14ac:dyDescent="0.35">
      <c r="J230">
        <f>2</f>
        <v>2</v>
      </c>
      <c r="K230" t="s">
        <v>876</v>
      </c>
    </row>
    <row r="231" spans="1:12" x14ac:dyDescent="0.35">
      <c r="A231" t="s">
        <v>877</v>
      </c>
      <c r="B231" t="s">
        <v>878</v>
      </c>
      <c r="C231" t="s">
        <v>224</v>
      </c>
      <c r="D231" t="s">
        <v>879</v>
      </c>
      <c r="E231" t="s">
        <v>16</v>
      </c>
      <c r="F231" t="s">
        <v>17</v>
      </c>
      <c r="G231" t="s">
        <v>224</v>
      </c>
      <c r="H231" t="s">
        <v>693</v>
      </c>
      <c r="I231" t="s">
        <v>880</v>
      </c>
      <c r="J231">
        <f>1</f>
        <v>1</v>
      </c>
      <c r="K231" t="s">
        <v>882</v>
      </c>
      <c r="L231" t="s">
        <v>881</v>
      </c>
    </row>
    <row r="232" spans="1:12" x14ac:dyDescent="0.35">
      <c r="A232" t="s">
        <v>883</v>
      </c>
      <c r="B232" t="s">
        <v>884</v>
      </c>
      <c r="C232" t="s">
        <v>224</v>
      </c>
      <c r="D232" t="s">
        <v>885</v>
      </c>
      <c r="E232" t="s">
        <v>34</v>
      </c>
      <c r="F232" t="s">
        <v>17</v>
      </c>
      <c r="G232" t="s">
        <v>224</v>
      </c>
      <c r="H232" t="s">
        <v>299</v>
      </c>
      <c r="I232" t="s">
        <v>283</v>
      </c>
      <c r="J232">
        <f>1</f>
        <v>1</v>
      </c>
      <c r="K232" t="s">
        <v>887</v>
      </c>
      <c r="L232" t="s">
        <v>886</v>
      </c>
    </row>
    <row r="233" spans="1:12" x14ac:dyDescent="0.35">
      <c r="A233" t="s">
        <v>888</v>
      </c>
      <c r="B233" t="s">
        <v>889</v>
      </c>
      <c r="C233" t="s">
        <v>224</v>
      </c>
      <c r="D233" t="s">
        <v>890</v>
      </c>
      <c r="E233" t="s">
        <v>34</v>
      </c>
      <c r="F233" t="s">
        <v>17</v>
      </c>
      <c r="G233" t="s">
        <v>224</v>
      </c>
      <c r="H233" t="s">
        <v>693</v>
      </c>
      <c r="I233" t="s">
        <v>283</v>
      </c>
      <c r="J233">
        <f>1</f>
        <v>1</v>
      </c>
      <c r="K233" t="s">
        <v>892</v>
      </c>
      <c r="L233" t="s">
        <v>891</v>
      </c>
    </row>
    <row r="234" spans="1:12" x14ac:dyDescent="0.35">
      <c r="J234">
        <f>2</f>
        <v>2</v>
      </c>
      <c r="K234" t="s">
        <v>893</v>
      </c>
    </row>
    <row r="235" spans="1:12" x14ac:dyDescent="0.35">
      <c r="A235" t="s">
        <v>894</v>
      </c>
      <c r="B235" t="s">
        <v>895</v>
      </c>
      <c r="C235" t="s">
        <v>224</v>
      </c>
      <c r="D235" t="s">
        <v>896</v>
      </c>
      <c r="E235" t="s">
        <v>34</v>
      </c>
      <c r="F235" t="s">
        <v>101</v>
      </c>
      <c r="G235" t="s">
        <v>224</v>
      </c>
      <c r="H235" t="s">
        <v>102</v>
      </c>
      <c r="I235" t="s">
        <v>897</v>
      </c>
      <c r="J235">
        <f>1</f>
        <v>1</v>
      </c>
      <c r="K235" t="s">
        <v>899</v>
      </c>
      <c r="L235" t="s">
        <v>898</v>
      </c>
    </row>
    <row r="236" spans="1:12" x14ac:dyDescent="0.35">
      <c r="J236">
        <f>2</f>
        <v>2</v>
      </c>
      <c r="K236" t="s">
        <v>900</v>
      </c>
    </row>
    <row r="237" spans="1:12" x14ac:dyDescent="0.35">
      <c r="J237">
        <f>3</f>
        <v>3</v>
      </c>
      <c r="K237" t="s">
        <v>901</v>
      </c>
    </row>
    <row r="238" spans="1:12" x14ac:dyDescent="0.35">
      <c r="A238" t="s">
        <v>902</v>
      </c>
      <c r="B238" t="s">
        <v>903</v>
      </c>
      <c r="C238" t="s">
        <v>45</v>
      </c>
      <c r="D238" t="s">
        <v>904</v>
      </c>
      <c r="E238" t="s">
        <v>34</v>
      </c>
      <c r="F238" t="s">
        <v>101</v>
      </c>
      <c r="G238" t="s">
        <v>45</v>
      </c>
      <c r="H238" t="s">
        <v>102</v>
      </c>
      <c r="I238" t="s">
        <v>905</v>
      </c>
      <c r="J238">
        <f>1</f>
        <v>1</v>
      </c>
      <c r="K238" t="s">
        <v>907</v>
      </c>
      <c r="L238" t="s">
        <v>906</v>
      </c>
    </row>
    <row r="239" spans="1:12" x14ac:dyDescent="0.35">
      <c r="J239">
        <f>2</f>
        <v>2</v>
      </c>
      <c r="K239" t="s">
        <v>908</v>
      </c>
    </row>
    <row r="240" spans="1:12" x14ac:dyDescent="0.35">
      <c r="J240">
        <f>3</f>
        <v>3</v>
      </c>
      <c r="K240" t="s">
        <v>909</v>
      </c>
    </row>
    <row r="241" spans="1:12" x14ac:dyDescent="0.35">
      <c r="A241" t="s">
        <v>910</v>
      </c>
      <c r="B241" t="s">
        <v>911</v>
      </c>
      <c r="C241" t="s">
        <v>45</v>
      </c>
      <c r="D241" t="s">
        <v>912</v>
      </c>
      <c r="E241" t="s">
        <v>16</v>
      </c>
      <c r="F241" t="s">
        <v>101</v>
      </c>
      <c r="G241" t="s">
        <v>45</v>
      </c>
      <c r="H241" t="s">
        <v>102</v>
      </c>
      <c r="I241" t="s">
        <v>913</v>
      </c>
      <c r="J241">
        <f>1</f>
        <v>1</v>
      </c>
      <c r="K241" t="s">
        <v>915</v>
      </c>
      <c r="L241" t="s">
        <v>914</v>
      </c>
    </row>
    <row r="242" spans="1:12" x14ac:dyDescent="0.35">
      <c r="A242" t="s">
        <v>916</v>
      </c>
      <c r="B242" t="s">
        <v>917</v>
      </c>
      <c r="C242" t="s">
        <v>45</v>
      </c>
      <c r="D242" t="s">
        <v>918</v>
      </c>
      <c r="E242" t="s">
        <v>34</v>
      </c>
      <c r="F242" t="s">
        <v>101</v>
      </c>
      <c r="G242" t="s">
        <v>45</v>
      </c>
      <c r="H242" t="s">
        <v>102</v>
      </c>
      <c r="I242" t="s">
        <v>919</v>
      </c>
      <c r="J242">
        <f>1</f>
        <v>1</v>
      </c>
      <c r="K242" t="s">
        <v>921</v>
      </c>
      <c r="L242" t="s">
        <v>920</v>
      </c>
    </row>
    <row r="243" spans="1:12" x14ac:dyDescent="0.35">
      <c r="J243">
        <f>2</f>
        <v>2</v>
      </c>
      <c r="K243" t="s">
        <v>922</v>
      </c>
    </row>
    <row r="244" spans="1:12" x14ac:dyDescent="0.35">
      <c r="A244" t="s">
        <v>923</v>
      </c>
      <c r="B244" t="s">
        <v>924</v>
      </c>
      <c r="C244" t="s">
        <v>45</v>
      </c>
      <c r="D244" t="s">
        <v>925</v>
      </c>
      <c r="E244" t="s">
        <v>34</v>
      </c>
      <c r="F244" t="s">
        <v>101</v>
      </c>
      <c r="G244" t="s">
        <v>45</v>
      </c>
      <c r="H244" t="s">
        <v>102</v>
      </c>
      <c r="I244" t="s">
        <v>926</v>
      </c>
      <c r="J244">
        <f>1</f>
        <v>1</v>
      </c>
      <c r="K244" t="s">
        <v>928</v>
      </c>
      <c r="L244" t="s">
        <v>927</v>
      </c>
    </row>
    <row r="245" spans="1:12" x14ac:dyDescent="0.35">
      <c r="J245">
        <f>2</f>
        <v>2</v>
      </c>
      <c r="K245" t="s">
        <v>929</v>
      </c>
    </row>
    <row r="246" spans="1:12" x14ac:dyDescent="0.35">
      <c r="A246" t="s">
        <v>930</v>
      </c>
      <c r="B246" t="s">
        <v>931</v>
      </c>
      <c r="C246" t="s">
        <v>45</v>
      </c>
      <c r="D246" t="s">
        <v>932</v>
      </c>
      <c r="E246" t="s">
        <v>34</v>
      </c>
      <c r="F246" t="s">
        <v>101</v>
      </c>
      <c r="G246" t="s">
        <v>45</v>
      </c>
      <c r="H246" t="s">
        <v>102</v>
      </c>
      <c r="I246" t="s">
        <v>933</v>
      </c>
      <c r="J246">
        <f>1</f>
        <v>1</v>
      </c>
      <c r="K246" t="s">
        <v>935</v>
      </c>
      <c r="L246" t="s">
        <v>934</v>
      </c>
    </row>
    <row r="247" spans="1:12" x14ac:dyDescent="0.35">
      <c r="J247">
        <f>2</f>
        <v>2</v>
      </c>
      <c r="K247" t="s">
        <v>106</v>
      </c>
    </row>
    <row r="248" spans="1:12" x14ac:dyDescent="0.35">
      <c r="A248" t="s">
        <v>936</v>
      </c>
      <c r="B248" t="s">
        <v>937</v>
      </c>
      <c r="C248" t="s">
        <v>45</v>
      </c>
      <c r="D248" t="s">
        <v>938</v>
      </c>
      <c r="E248" t="s">
        <v>16</v>
      </c>
      <c r="F248" t="s">
        <v>101</v>
      </c>
      <c r="G248" t="s">
        <v>45</v>
      </c>
      <c r="H248" t="s">
        <v>102</v>
      </c>
      <c r="I248" t="s">
        <v>939</v>
      </c>
      <c r="J248">
        <f>1</f>
        <v>1</v>
      </c>
      <c r="K248" t="s">
        <v>941</v>
      </c>
      <c r="L248" t="s">
        <v>940</v>
      </c>
    </row>
    <row r="249" spans="1:12" x14ac:dyDescent="0.35">
      <c r="J249">
        <f>2</f>
        <v>2</v>
      </c>
      <c r="K249" t="s">
        <v>942</v>
      </c>
    </row>
    <row r="250" spans="1:12" x14ac:dyDescent="0.35">
      <c r="A250" t="s">
        <v>943</v>
      </c>
      <c r="B250" t="s">
        <v>944</v>
      </c>
      <c r="C250" t="s">
        <v>945</v>
      </c>
      <c r="D250" t="s">
        <v>946</v>
      </c>
      <c r="E250" t="s">
        <v>16</v>
      </c>
      <c r="F250" t="s">
        <v>17</v>
      </c>
      <c r="G250" t="s">
        <v>945</v>
      </c>
      <c r="H250" t="s">
        <v>947</v>
      </c>
      <c r="I250" t="s">
        <v>948</v>
      </c>
      <c r="J250">
        <f>1</f>
        <v>1</v>
      </c>
      <c r="K250" t="s">
        <v>950</v>
      </c>
      <c r="L250" t="s">
        <v>949</v>
      </c>
    </row>
    <row r="251" spans="1:12" x14ac:dyDescent="0.35">
      <c r="J251">
        <f>2</f>
        <v>2</v>
      </c>
      <c r="K251" t="s">
        <v>951</v>
      </c>
    </row>
    <row r="252" spans="1:12" x14ac:dyDescent="0.35">
      <c r="J252">
        <f>3</f>
        <v>3</v>
      </c>
      <c r="K252" t="s">
        <v>952</v>
      </c>
    </row>
    <row r="253" spans="1:12" x14ac:dyDescent="0.35">
      <c r="A253" t="s">
        <v>953</v>
      </c>
      <c r="B253" t="s">
        <v>954</v>
      </c>
      <c r="C253" t="s">
        <v>945</v>
      </c>
      <c r="D253" t="s">
        <v>955</v>
      </c>
      <c r="E253" t="s">
        <v>16</v>
      </c>
      <c r="F253" t="s">
        <v>17</v>
      </c>
      <c r="G253" t="s">
        <v>945</v>
      </c>
      <c r="H253" t="s">
        <v>268</v>
      </c>
      <c r="I253" t="s">
        <v>956</v>
      </c>
      <c r="J253">
        <f>1</f>
        <v>1</v>
      </c>
      <c r="K253" t="s">
        <v>958</v>
      </c>
      <c r="L253" t="s">
        <v>957</v>
      </c>
    </row>
    <row r="254" spans="1:12" x14ac:dyDescent="0.35">
      <c r="J254">
        <f>2</f>
        <v>2</v>
      </c>
      <c r="K254" t="s">
        <v>959</v>
      </c>
    </row>
    <row r="255" spans="1:12" x14ac:dyDescent="0.35">
      <c r="J255">
        <f>3</f>
        <v>3</v>
      </c>
      <c r="K255" t="s">
        <v>960</v>
      </c>
    </row>
    <row r="256" spans="1:12" x14ac:dyDescent="0.35">
      <c r="A256" t="s">
        <v>961</v>
      </c>
      <c r="B256" t="s">
        <v>962</v>
      </c>
      <c r="C256" t="s">
        <v>945</v>
      </c>
      <c r="D256" t="s">
        <v>963</v>
      </c>
      <c r="E256" t="s">
        <v>16</v>
      </c>
      <c r="F256" t="s">
        <v>17</v>
      </c>
      <c r="G256" t="s">
        <v>945</v>
      </c>
      <c r="H256" t="s">
        <v>964</v>
      </c>
      <c r="I256" t="s">
        <v>965</v>
      </c>
      <c r="J256">
        <f>1</f>
        <v>1</v>
      </c>
      <c r="K256" t="s">
        <v>967</v>
      </c>
      <c r="L256" t="s">
        <v>966</v>
      </c>
    </row>
    <row r="257" spans="1:12" x14ac:dyDescent="0.35">
      <c r="J257">
        <f>2</f>
        <v>2</v>
      </c>
      <c r="K257" t="s">
        <v>968</v>
      </c>
    </row>
    <row r="258" spans="1:12" x14ac:dyDescent="0.35">
      <c r="J258">
        <f>3</f>
        <v>3</v>
      </c>
      <c r="K258" t="s">
        <v>969</v>
      </c>
    </row>
    <row r="259" spans="1:12" x14ac:dyDescent="0.35">
      <c r="A259" t="s">
        <v>970</v>
      </c>
      <c r="B259" t="s">
        <v>971</v>
      </c>
      <c r="C259" t="s">
        <v>945</v>
      </c>
      <c r="D259" t="s">
        <v>972</v>
      </c>
      <c r="E259" t="s">
        <v>16</v>
      </c>
      <c r="F259" t="s">
        <v>17</v>
      </c>
      <c r="G259" t="s">
        <v>945</v>
      </c>
      <c r="H259" t="s">
        <v>973</v>
      </c>
      <c r="I259" t="s">
        <v>974</v>
      </c>
      <c r="J259">
        <f>1</f>
        <v>1</v>
      </c>
      <c r="K259" t="s">
        <v>976</v>
      </c>
      <c r="L259" t="s">
        <v>975</v>
      </c>
    </row>
    <row r="260" spans="1:12" x14ac:dyDescent="0.35">
      <c r="J260">
        <f>2</f>
        <v>2</v>
      </c>
      <c r="K260" t="s">
        <v>977</v>
      </c>
    </row>
    <row r="261" spans="1:12" x14ac:dyDescent="0.35">
      <c r="J261">
        <f>3</f>
        <v>3</v>
      </c>
      <c r="K261" t="s">
        <v>978</v>
      </c>
    </row>
    <row r="262" spans="1:12" x14ac:dyDescent="0.35">
      <c r="J262">
        <f>4</f>
        <v>4</v>
      </c>
      <c r="K262" t="s">
        <v>979</v>
      </c>
    </row>
    <row r="263" spans="1:12" x14ac:dyDescent="0.35">
      <c r="A263" t="s">
        <v>980</v>
      </c>
      <c r="B263" t="s">
        <v>981</v>
      </c>
      <c r="C263" t="s">
        <v>945</v>
      </c>
      <c r="D263" t="s">
        <v>982</v>
      </c>
      <c r="E263" t="s">
        <v>16</v>
      </c>
      <c r="F263" t="s">
        <v>17</v>
      </c>
      <c r="G263" t="s">
        <v>945</v>
      </c>
      <c r="H263" t="s">
        <v>983</v>
      </c>
      <c r="I263" t="s">
        <v>984</v>
      </c>
      <c r="J263">
        <f>1</f>
        <v>1</v>
      </c>
      <c r="K263" t="s">
        <v>986</v>
      </c>
      <c r="L263" t="s">
        <v>985</v>
      </c>
    </row>
    <row r="264" spans="1:12" x14ac:dyDescent="0.35">
      <c r="J264">
        <f>2</f>
        <v>2</v>
      </c>
      <c r="K264" t="s">
        <v>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F579-A37F-4FAA-BACA-ECB2E580EC87}">
  <dimension ref="A1:L24"/>
  <sheetViews>
    <sheetView workbookViewId="0"/>
  </sheetViews>
  <sheetFormatPr defaultRowHeight="14.5" x14ac:dyDescent="0.35"/>
  <cols>
    <col min="1" max="1" width="20.6328125" bestFit="1" customWidth="1"/>
    <col min="2" max="2" width="5.90625" bestFit="1" customWidth="1"/>
    <col min="3" max="3" width="11.90625" bestFit="1" customWidth="1"/>
    <col min="5" max="5" width="9.1796875" bestFit="1" customWidth="1"/>
    <col min="6" max="6" width="5.90625" bestFit="1" customWidth="1"/>
    <col min="8" max="8" width="14.90625" bestFit="1" customWidth="1"/>
    <col min="9" max="9" width="5.90625" bestFit="1" customWidth="1"/>
    <col min="11" max="11" width="16.7265625" bestFit="1" customWidth="1"/>
    <col min="12" max="12" width="5.90625" bestFit="1" customWidth="1"/>
  </cols>
  <sheetData>
    <row r="1" spans="1:12" x14ac:dyDescent="0.35">
      <c r="A1" s="2" t="s">
        <v>988</v>
      </c>
      <c r="B1" s="2"/>
      <c r="C1" s="2"/>
      <c r="E1" s="2" t="s">
        <v>992</v>
      </c>
      <c r="F1" s="2"/>
      <c r="H1" s="2" t="s">
        <v>994</v>
      </c>
      <c r="I1" s="2"/>
      <c r="K1" s="2" t="s">
        <v>995</v>
      </c>
      <c r="L1" s="2"/>
    </row>
    <row r="2" spans="1:12" x14ac:dyDescent="0.35">
      <c r="A2" s="3" t="s">
        <v>2</v>
      </c>
      <c r="B2" s="3" t="s">
        <v>989</v>
      </c>
      <c r="C2" s="3" t="s">
        <v>990</v>
      </c>
      <c r="E2" s="3" t="s">
        <v>4</v>
      </c>
      <c r="F2" s="3" t="s">
        <v>989</v>
      </c>
      <c r="H2" s="3" t="s">
        <v>6</v>
      </c>
      <c r="I2" s="3" t="s">
        <v>989</v>
      </c>
      <c r="K2" s="3" t="s">
        <v>5</v>
      </c>
      <c r="L2" s="3" t="s">
        <v>989</v>
      </c>
    </row>
    <row r="3" spans="1:12" x14ac:dyDescent="0.35">
      <c r="A3" t="s">
        <v>684</v>
      </c>
      <c r="B3">
        <f>11</f>
        <v>11</v>
      </c>
      <c r="C3">
        <f>100</f>
        <v>100</v>
      </c>
      <c r="E3" t="s">
        <v>16</v>
      </c>
      <c r="F3">
        <f>67</f>
        <v>67</v>
      </c>
      <c r="H3" t="s">
        <v>18</v>
      </c>
      <c r="I3">
        <f>53</f>
        <v>53</v>
      </c>
      <c r="K3" t="s">
        <v>17</v>
      </c>
      <c r="L3">
        <f>112</f>
        <v>112</v>
      </c>
    </row>
    <row r="4" spans="1:12" x14ac:dyDescent="0.35">
      <c r="A4" t="s">
        <v>77</v>
      </c>
      <c r="B4">
        <f>8</f>
        <v>8</v>
      </c>
      <c r="C4">
        <f>88</f>
        <v>88</v>
      </c>
      <c r="E4" t="s">
        <v>34</v>
      </c>
      <c r="F4">
        <f>68</f>
        <v>68</v>
      </c>
      <c r="H4" t="s">
        <v>93</v>
      </c>
      <c r="I4">
        <f>37</f>
        <v>37</v>
      </c>
      <c r="K4" t="s">
        <v>44</v>
      </c>
      <c r="L4">
        <f>5</f>
        <v>5</v>
      </c>
    </row>
    <row r="5" spans="1:12" x14ac:dyDescent="0.35">
      <c r="A5" t="s">
        <v>815</v>
      </c>
      <c r="B5">
        <f>6</f>
        <v>6</v>
      </c>
      <c r="C5">
        <f>0</f>
        <v>0</v>
      </c>
      <c r="E5" t="s">
        <v>318</v>
      </c>
      <c r="F5">
        <f>5</f>
        <v>5</v>
      </c>
      <c r="H5" t="s">
        <v>35</v>
      </c>
      <c r="I5">
        <f>16</f>
        <v>16</v>
      </c>
      <c r="K5" t="s">
        <v>101</v>
      </c>
      <c r="L5">
        <f>23</f>
        <v>23</v>
      </c>
    </row>
    <row r="6" spans="1:12" x14ac:dyDescent="0.35">
      <c r="A6" t="s">
        <v>409</v>
      </c>
      <c r="B6">
        <f>9</f>
        <v>9</v>
      </c>
      <c r="C6">
        <f>100</f>
        <v>100</v>
      </c>
      <c r="E6" t="s">
        <v>993</v>
      </c>
      <c r="F6">
        <f>0</f>
        <v>0</v>
      </c>
      <c r="H6" t="s">
        <v>224</v>
      </c>
      <c r="I6">
        <f>14</f>
        <v>14</v>
      </c>
    </row>
    <row r="7" spans="1:12" x14ac:dyDescent="0.35">
      <c r="A7" t="s">
        <v>132</v>
      </c>
      <c r="B7">
        <f>7</f>
        <v>7</v>
      </c>
      <c r="C7">
        <f>100</f>
        <v>100</v>
      </c>
      <c r="H7" t="s">
        <v>45</v>
      </c>
      <c r="I7">
        <f>10</f>
        <v>10</v>
      </c>
    </row>
    <row r="8" spans="1:12" x14ac:dyDescent="0.35">
      <c r="A8" t="s">
        <v>945</v>
      </c>
      <c r="B8">
        <f>5</f>
        <v>5</v>
      </c>
      <c r="C8">
        <f>100</f>
        <v>100</v>
      </c>
      <c r="H8" t="s">
        <v>319</v>
      </c>
      <c r="I8">
        <f>5</f>
        <v>5</v>
      </c>
    </row>
    <row r="9" spans="1:12" x14ac:dyDescent="0.35">
      <c r="A9" t="s">
        <v>581</v>
      </c>
      <c r="B9">
        <f>5</f>
        <v>5</v>
      </c>
      <c r="C9">
        <f>60</f>
        <v>60</v>
      </c>
      <c r="H9" t="s">
        <v>945</v>
      </c>
      <c r="I9">
        <f>5</f>
        <v>5</v>
      </c>
    </row>
    <row r="10" spans="1:12" x14ac:dyDescent="0.35">
      <c r="A10" t="s">
        <v>475</v>
      </c>
      <c r="B10">
        <f>5</f>
        <v>5</v>
      </c>
      <c r="C10">
        <f>100</f>
        <v>100</v>
      </c>
    </row>
    <row r="11" spans="1:12" x14ac:dyDescent="0.35">
      <c r="A11" t="s">
        <v>258</v>
      </c>
      <c r="B11">
        <f>10</f>
        <v>10</v>
      </c>
      <c r="C11">
        <f>100</f>
        <v>100</v>
      </c>
    </row>
    <row r="12" spans="1:12" x14ac:dyDescent="0.35">
      <c r="A12" t="s">
        <v>327</v>
      </c>
      <c r="B12">
        <f>7</f>
        <v>7</v>
      </c>
      <c r="C12">
        <f>100</f>
        <v>100</v>
      </c>
    </row>
    <row r="13" spans="1:12" x14ac:dyDescent="0.35">
      <c r="A13" t="s">
        <v>214</v>
      </c>
      <c r="B13">
        <f>6</f>
        <v>6</v>
      </c>
      <c r="C13">
        <f>83</f>
        <v>83</v>
      </c>
    </row>
    <row r="14" spans="1:12" x14ac:dyDescent="0.35">
      <c r="A14" t="s">
        <v>45</v>
      </c>
      <c r="B14">
        <f>6</f>
        <v>6</v>
      </c>
      <c r="C14">
        <f>0</f>
        <v>0</v>
      </c>
    </row>
    <row r="15" spans="1:12" x14ac:dyDescent="0.35">
      <c r="A15" t="s">
        <v>753</v>
      </c>
      <c r="B15">
        <f>5</f>
        <v>5</v>
      </c>
      <c r="C15">
        <f>40</f>
        <v>40</v>
      </c>
    </row>
    <row r="16" spans="1:12" x14ac:dyDescent="0.35">
      <c r="A16" t="s">
        <v>789</v>
      </c>
      <c r="B16">
        <f>4</f>
        <v>4</v>
      </c>
      <c r="C16">
        <f>0</f>
        <v>0</v>
      </c>
    </row>
    <row r="17" spans="1:3" x14ac:dyDescent="0.35">
      <c r="A17" t="s">
        <v>373</v>
      </c>
      <c r="B17">
        <f>5</f>
        <v>5</v>
      </c>
      <c r="C17">
        <f>100</f>
        <v>100</v>
      </c>
    </row>
    <row r="18" spans="1:3" x14ac:dyDescent="0.35">
      <c r="A18" t="s">
        <v>14</v>
      </c>
      <c r="B18">
        <f>7</f>
        <v>7</v>
      </c>
      <c r="C18">
        <f>100</f>
        <v>100</v>
      </c>
    </row>
    <row r="19" spans="1:3" x14ac:dyDescent="0.35">
      <c r="A19" t="s">
        <v>511</v>
      </c>
      <c r="B19">
        <f>11</f>
        <v>11</v>
      </c>
      <c r="C19">
        <f>100</f>
        <v>100</v>
      </c>
    </row>
    <row r="20" spans="1:3" x14ac:dyDescent="0.35">
      <c r="A20" t="s">
        <v>616</v>
      </c>
      <c r="B20">
        <f>5</f>
        <v>5</v>
      </c>
      <c r="C20">
        <f>100</f>
        <v>100</v>
      </c>
    </row>
    <row r="21" spans="1:3" x14ac:dyDescent="0.35">
      <c r="A21" t="s">
        <v>224</v>
      </c>
      <c r="B21">
        <f>8</f>
        <v>8</v>
      </c>
      <c r="C21">
        <f>75</f>
        <v>75</v>
      </c>
    </row>
    <row r="22" spans="1:3" x14ac:dyDescent="0.35">
      <c r="A22" t="s">
        <v>649</v>
      </c>
      <c r="B22">
        <f>5</f>
        <v>5</v>
      </c>
      <c r="C22">
        <f>100</f>
        <v>100</v>
      </c>
    </row>
    <row r="23" spans="1:3" x14ac:dyDescent="0.35">
      <c r="A23" t="s">
        <v>178</v>
      </c>
      <c r="B23">
        <f>5</f>
        <v>5</v>
      </c>
      <c r="C23">
        <f>100</f>
        <v>100</v>
      </c>
    </row>
    <row r="24" spans="1:3" x14ac:dyDescent="0.35">
      <c r="A24" s="1" t="s">
        <v>991</v>
      </c>
      <c r="B24">
        <f>140</f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3874-A095-42CF-BFC1-D64E0AD94A21}">
  <dimension ref="A1:I141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1.6328125" bestFit="1" customWidth="1"/>
    <col min="2" max="2" width="59.453125" bestFit="1" customWidth="1"/>
    <col min="3" max="3" width="20.6328125" bestFit="1" customWidth="1"/>
    <col min="4" max="4" width="57.36328125" bestFit="1" customWidth="1"/>
    <col min="5" max="5" width="7.26953125" bestFit="1" customWidth="1"/>
    <col min="6" max="6" width="16.7265625" bestFit="1" customWidth="1"/>
    <col min="7" max="7" width="12.453125" bestFit="1" customWidth="1"/>
    <col min="8" max="9" width="60.632812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11</v>
      </c>
    </row>
    <row r="2" spans="1:9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21</v>
      </c>
    </row>
    <row r="3" spans="1:9" x14ac:dyDescent="0.35">
      <c r="A3" t="s">
        <v>24</v>
      </c>
      <c r="B3" t="s">
        <v>25</v>
      </c>
      <c r="C3" t="s">
        <v>14</v>
      </c>
      <c r="D3" t="s">
        <v>26</v>
      </c>
      <c r="E3" t="s">
        <v>16</v>
      </c>
      <c r="F3" t="s">
        <v>17</v>
      </c>
      <c r="G3" t="s">
        <v>18</v>
      </c>
      <c r="H3" t="s">
        <v>19</v>
      </c>
      <c r="I3" t="s">
        <v>28</v>
      </c>
    </row>
    <row r="4" spans="1:9" x14ac:dyDescent="0.35">
      <c r="A4" t="s">
        <v>31</v>
      </c>
      <c r="B4" t="s">
        <v>32</v>
      </c>
      <c r="C4" t="s">
        <v>14</v>
      </c>
      <c r="D4" t="s">
        <v>33</v>
      </c>
      <c r="E4" t="s">
        <v>34</v>
      </c>
      <c r="F4" t="s">
        <v>17</v>
      </c>
      <c r="G4" t="s">
        <v>35</v>
      </c>
      <c r="H4" t="s">
        <v>19</v>
      </c>
      <c r="I4" t="s">
        <v>37</v>
      </c>
    </row>
    <row r="5" spans="1:9" x14ac:dyDescent="0.35">
      <c r="A5" t="s">
        <v>41</v>
      </c>
      <c r="B5" t="s">
        <v>42</v>
      </c>
      <c r="C5" t="s">
        <v>14</v>
      </c>
      <c r="D5" t="s">
        <v>43</v>
      </c>
      <c r="E5" t="s">
        <v>34</v>
      </c>
      <c r="F5" t="s">
        <v>44</v>
      </c>
      <c r="G5" t="s">
        <v>45</v>
      </c>
      <c r="H5" t="s">
        <v>19</v>
      </c>
      <c r="I5" t="s">
        <v>47</v>
      </c>
    </row>
    <row r="6" spans="1:9" x14ac:dyDescent="0.35">
      <c r="A6" t="s">
        <v>51</v>
      </c>
      <c r="B6" t="s">
        <v>52</v>
      </c>
      <c r="C6" t="s">
        <v>14</v>
      </c>
      <c r="D6" t="s">
        <v>53</v>
      </c>
      <c r="E6" t="s">
        <v>34</v>
      </c>
      <c r="F6" t="s">
        <v>17</v>
      </c>
      <c r="G6" t="s">
        <v>18</v>
      </c>
      <c r="H6" t="s">
        <v>19</v>
      </c>
      <c r="I6" t="s">
        <v>55</v>
      </c>
    </row>
    <row r="7" spans="1:9" x14ac:dyDescent="0.35">
      <c r="A7" t="s">
        <v>58</v>
      </c>
      <c r="B7" t="s">
        <v>59</v>
      </c>
      <c r="C7" t="s">
        <v>14</v>
      </c>
      <c r="D7" t="s">
        <v>60</v>
      </c>
      <c r="E7" t="s">
        <v>34</v>
      </c>
      <c r="F7" t="s">
        <v>17</v>
      </c>
      <c r="G7" t="s">
        <v>18</v>
      </c>
      <c r="H7" t="s">
        <v>19</v>
      </c>
      <c r="I7" t="s">
        <v>62</v>
      </c>
    </row>
    <row r="8" spans="1:9" x14ac:dyDescent="0.35">
      <c r="A8" t="s">
        <v>67</v>
      </c>
      <c r="B8" t="s">
        <v>68</v>
      </c>
      <c r="C8" t="s">
        <v>14</v>
      </c>
      <c r="D8" t="s">
        <v>69</v>
      </c>
      <c r="E8" t="s">
        <v>34</v>
      </c>
      <c r="F8" t="s">
        <v>17</v>
      </c>
      <c r="G8" t="s">
        <v>35</v>
      </c>
      <c r="H8" t="s">
        <v>70</v>
      </c>
      <c r="I8" t="s">
        <v>72</v>
      </c>
    </row>
    <row r="9" spans="1:9" x14ac:dyDescent="0.35">
      <c r="A9" t="s">
        <v>75</v>
      </c>
      <c r="B9" t="s">
        <v>76</v>
      </c>
      <c r="C9" t="s">
        <v>77</v>
      </c>
      <c r="D9" t="s">
        <v>78</v>
      </c>
      <c r="E9" t="s">
        <v>16</v>
      </c>
      <c r="F9" t="s">
        <v>17</v>
      </c>
      <c r="G9" t="s">
        <v>18</v>
      </c>
      <c r="H9" t="s">
        <v>79</v>
      </c>
      <c r="I9" t="s">
        <v>80</v>
      </c>
    </row>
    <row r="10" spans="1:9" x14ac:dyDescent="0.35">
      <c r="A10" t="s">
        <v>83</v>
      </c>
      <c r="B10" t="s">
        <v>84</v>
      </c>
      <c r="C10" t="s">
        <v>77</v>
      </c>
      <c r="D10" t="s">
        <v>85</v>
      </c>
      <c r="E10" t="s">
        <v>16</v>
      </c>
      <c r="F10" t="s">
        <v>17</v>
      </c>
      <c r="G10" t="s">
        <v>18</v>
      </c>
      <c r="H10" t="s">
        <v>79</v>
      </c>
      <c r="I10" t="s">
        <v>87</v>
      </c>
    </row>
    <row r="11" spans="1:9" x14ac:dyDescent="0.35">
      <c r="A11" t="s">
        <v>90</v>
      </c>
      <c r="B11" t="s">
        <v>91</v>
      </c>
      <c r="C11" t="s">
        <v>77</v>
      </c>
      <c r="D11" t="s">
        <v>92</v>
      </c>
      <c r="E11" t="s">
        <v>16</v>
      </c>
      <c r="F11" t="s">
        <v>17</v>
      </c>
      <c r="G11" t="s">
        <v>93</v>
      </c>
      <c r="H11" t="s">
        <v>79</v>
      </c>
      <c r="I11" t="s">
        <v>95</v>
      </c>
    </row>
    <row r="12" spans="1:9" x14ac:dyDescent="0.35">
      <c r="A12" t="s">
        <v>98</v>
      </c>
      <c r="B12" t="s">
        <v>99</v>
      </c>
      <c r="C12" t="s">
        <v>77</v>
      </c>
      <c r="D12" t="s">
        <v>100</v>
      </c>
      <c r="E12" t="s">
        <v>34</v>
      </c>
      <c r="F12" t="s">
        <v>101</v>
      </c>
      <c r="G12" t="s">
        <v>45</v>
      </c>
      <c r="H12" t="s">
        <v>102</v>
      </c>
      <c r="I12" t="s">
        <v>104</v>
      </c>
    </row>
    <row r="13" spans="1:9" x14ac:dyDescent="0.35">
      <c r="A13" t="s">
        <v>107</v>
      </c>
      <c r="B13" t="s">
        <v>108</v>
      </c>
      <c r="C13" t="s">
        <v>77</v>
      </c>
      <c r="D13" t="s">
        <v>109</v>
      </c>
      <c r="E13" t="s">
        <v>16</v>
      </c>
      <c r="F13" t="s">
        <v>17</v>
      </c>
      <c r="G13" t="s">
        <v>93</v>
      </c>
      <c r="H13" t="s">
        <v>79</v>
      </c>
      <c r="I13" t="s">
        <v>111</v>
      </c>
    </row>
    <row r="14" spans="1:9" x14ac:dyDescent="0.35">
      <c r="A14" t="s">
        <v>113</v>
      </c>
      <c r="B14" t="s">
        <v>114</v>
      </c>
      <c r="C14" t="s">
        <v>77</v>
      </c>
      <c r="D14" t="s">
        <v>109</v>
      </c>
      <c r="E14" t="s">
        <v>16</v>
      </c>
      <c r="F14" t="s">
        <v>17</v>
      </c>
      <c r="G14" t="s">
        <v>93</v>
      </c>
      <c r="H14" t="s">
        <v>79</v>
      </c>
      <c r="I14" t="s">
        <v>115</v>
      </c>
    </row>
    <row r="15" spans="1:9" x14ac:dyDescent="0.35">
      <c r="A15" t="s">
        <v>117</v>
      </c>
      <c r="B15" t="s">
        <v>118</v>
      </c>
      <c r="C15" t="s">
        <v>77</v>
      </c>
      <c r="D15" t="s">
        <v>119</v>
      </c>
      <c r="E15" t="s">
        <v>16</v>
      </c>
      <c r="F15" t="s">
        <v>17</v>
      </c>
      <c r="G15" t="s">
        <v>18</v>
      </c>
      <c r="H15" t="s">
        <v>79</v>
      </c>
      <c r="I15" t="s">
        <v>120</v>
      </c>
    </row>
    <row r="16" spans="1:9" x14ac:dyDescent="0.35">
      <c r="A16" t="s">
        <v>123</v>
      </c>
      <c r="B16" t="s">
        <v>124</v>
      </c>
      <c r="C16" t="s">
        <v>77</v>
      </c>
      <c r="D16" t="s">
        <v>125</v>
      </c>
      <c r="E16" t="s">
        <v>34</v>
      </c>
      <c r="F16" t="s">
        <v>17</v>
      </c>
      <c r="G16" t="s">
        <v>18</v>
      </c>
      <c r="H16" t="s">
        <v>79</v>
      </c>
      <c r="I16" t="s">
        <v>127</v>
      </c>
    </row>
    <row r="17" spans="1:9" x14ac:dyDescent="0.35">
      <c r="A17" t="s">
        <v>130</v>
      </c>
      <c r="B17" t="s">
        <v>131</v>
      </c>
      <c r="C17" t="s">
        <v>132</v>
      </c>
      <c r="D17" t="s">
        <v>133</v>
      </c>
      <c r="E17" t="s">
        <v>16</v>
      </c>
      <c r="F17" t="s">
        <v>17</v>
      </c>
      <c r="G17" t="s">
        <v>18</v>
      </c>
      <c r="H17" t="s">
        <v>134</v>
      </c>
      <c r="I17" t="s">
        <v>136</v>
      </c>
    </row>
    <row r="18" spans="1:9" x14ac:dyDescent="0.35">
      <c r="A18" t="s">
        <v>139</v>
      </c>
      <c r="B18" t="s">
        <v>140</v>
      </c>
      <c r="C18" t="s">
        <v>132</v>
      </c>
      <c r="D18" t="s">
        <v>141</v>
      </c>
      <c r="E18" t="s">
        <v>34</v>
      </c>
      <c r="F18" t="s">
        <v>17</v>
      </c>
      <c r="G18" t="s">
        <v>93</v>
      </c>
      <c r="H18" t="s">
        <v>134</v>
      </c>
      <c r="I18" t="s">
        <v>143</v>
      </c>
    </row>
    <row r="19" spans="1:9" x14ac:dyDescent="0.35">
      <c r="A19" t="s">
        <v>145</v>
      </c>
      <c r="B19" t="s">
        <v>146</v>
      </c>
      <c r="C19" t="s">
        <v>132</v>
      </c>
      <c r="D19" t="s">
        <v>147</v>
      </c>
      <c r="E19" t="s">
        <v>16</v>
      </c>
      <c r="F19" t="s">
        <v>17</v>
      </c>
      <c r="G19" t="s">
        <v>93</v>
      </c>
      <c r="H19" t="s">
        <v>148</v>
      </c>
      <c r="I19" t="s">
        <v>150</v>
      </c>
    </row>
    <row r="20" spans="1:9" x14ac:dyDescent="0.35">
      <c r="A20" t="s">
        <v>152</v>
      </c>
      <c r="B20" t="s">
        <v>153</v>
      </c>
      <c r="C20" t="s">
        <v>132</v>
      </c>
      <c r="D20" t="s">
        <v>154</v>
      </c>
      <c r="E20" t="s">
        <v>34</v>
      </c>
      <c r="F20" t="s">
        <v>17</v>
      </c>
      <c r="G20" t="s">
        <v>18</v>
      </c>
      <c r="H20" t="s">
        <v>134</v>
      </c>
      <c r="I20" t="s">
        <v>156</v>
      </c>
    </row>
    <row r="21" spans="1:9" x14ac:dyDescent="0.35">
      <c r="A21" t="s">
        <v>159</v>
      </c>
      <c r="B21" t="s">
        <v>160</v>
      </c>
      <c r="C21" t="s">
        <v>132</v>
      </c>
      <c r="D21" t="s">
        <v>161</v>
      </c>
      <c r="E21" t="s">
        <v>16</v>
      </c>
      <c r="F21" t="s">
        <v>17</v>
      </c>
      <c r="G21" t="s">
        <v>93</v>
      </c>
      <c r="H21" t="s">
        <v>148</v>
      </c>
      <c r="I21" t="s">
        <v>163</v>
      </c>
    </row>
    <row r="22" spans="1:9" x14ac:dyDescent="0.35">
      <c r="A22" t="s">
        <v>165</v>
      </c>
      <c r="B22" t="s">
        <v>166</v>
      </c>
      <c r="C22" t="s">
        <v>132</v>
      </c>
      <c r="D22" t="s">
        <v>167</v>
      </c>
      <c r="E22" t="s">
        <v>34</v>
      </c>
      <c r="F22" t="s">
        <v>17</v>
      </c>
      <c r="G22" t="s">
        <v>18</v>
      </c>
      <c r="H22" t="s">
        <v>134</v>
      </c>
      <c r="I22" t="s">
        <v>169</v>
      </c>
    </row>
    <row r="23" spans="1:9" x14ac:dyDescent="0.35">
      <c r="A23" t="s">
        <v>171</v>
      </c>
      <c r="B23" t="s">
        <v>172</v>
      </c>
      <c r="C23" t="s">
        <v>132</v>
      </c>
      <c r="D23" t="s">
        <v>167</v>
      </c>
      <c r="E23" t="s">
        <v>34</v>
      </c>
      <c r="F23" t="s">
        <v>17</v>
      </c>
      <c r="G23" t="s">
        <v>18</v>
      </c>
      <c r="H23" t="s">
        <v>134</v>
      </c>
      <c r="I23" t="s">
        <v>174</v>
      </c>
    </row>
    <row r="24" spans="1:9" x14ac:dyDescent="0.35">
      <c r="A24" t="s">
        <v>176</v>
      </c>
      <c r="B24" t="s">
        <v>177</v>
      </c>
      <c r="C24" t="s">
        <v>178</v>
      </c>
      <c r="D24" t="s">
        <v>179</v>
      </c>
      <c r="E24" t="s">
        <v>16</v>
      </c>
      <c r="F24" t="s">
        <v>17</v>
      </c>
      <c r="G24" t="s">
        <v>18</v>
      </c>
      <c r="H24" t="s">
        <v>180</v>
      </c>
      <c r="I24" t="s">
        <v>182</v>
      </c>
    </row>
    <row r="25" spans="1:9" x14ac:dyDescent="0.35">
      <c r="A25" t="s">
        <v>184</v>
      </c>
      <c r="B25" t="s">
        <v>185</v>
      </c>
      <c r="C25" t="s">
        <v>178</v>
      </c>
      <c r="D25" t="s">
        <v>179</v>
      </c>
      <c r="E25" t="s">
        <v>34</v>
      </c>
      <c r="F25" t="s">
        <v>17</v>
      </c>
      <c r="G25" t="s">
        <v>18</v>
      </c>
      <c r="H25" t="s">
        <v>180</v>
      </c>
      <c r="I25" t="s">
        <v>187</v>
      </c>
    </row>
    <row r="26" spans="1:9" x14ac:dyDescent="0.35">
      <c r="A26" t="s">
        <v>190</v>
      </c>
      <c r="B26" t="s">
        <v>191</v>
      </c>
      <c r="C26" t="s">
        <v>178</v>
      </c>
      <c r="D26" t="s">
        <v>192</v>
      </c>
      <c r="E26" t="s">
        <v>16</v>
      </c>
      <c r="F26" t="s">
        <v>17</v>
      </c>
      <c r="G26" t="s">
        <v>93</v>
      </c>
      <c r="H26" t="s">
        <v>193</v>
      </c>
      <c r="I26" t="s">
        <v>195</v>
      </c>
    </row>
    <row r="27" spans="1:9" x14ac:dyDescent="0.35">
      <c r="A27" t="s">
        <v>198</v>
      </c>
      <c r="B27" t="s">
        <v>199</v>
      </c>
      <c r="C27" t="s">
        <v>178</v>
      </c>
      <c r="D27" t="s">
        <v>200</v>
      </c>
      <c r="E27" t="s">
        <v>34</v>
      </c>
      <c r="F27" t="s">
        <v>17</v>
      </c>
      <c r="G27" t="s">
        <v>18</v>
      </c>
      <c r="H27" t="s">
        <v>180</v>
      </c>
      <c r="I27" t="s">
        <v>202</v>
      </c>
    </row>
    <row r="28" spans="1:9" x14ac:dyDescent="0.35">
      <c r="A28" t="s">
        <v>204</v>
      </c>
      <c r="B28" t="s">
        <v>205</v>
      </c>
      <c r="C28" t="s">
        <v>178</v>
      </c>
      <c r="D28" t="s">
        <v>206</v>
      </c>
      <c r="E28" t="s">
        <v>34</v>
      </c>
      <c r="F28" t="s">
        <v>17</v>
      </c>
      <c r="G28" t="s">
        <v>18</v>
      </c>
      <c r="H28" t="s">
        <v>180</v>
      </c>
      <c r="I28" t="s">
        <v>208</v>
      </c>
    </row>
    <row r="29" spans="1:9" x14ac:dyDescent="0.35">
      <c r="A29" t="s">
        <v>212</v>
      </c>
      <c r="B29" t="s">
        <v>213</v>
      </c>
      <c r="C29" t="s">
        <v>214</v>
      </c>
      <c r="D29" t="s">
        <v>215</v>
      </c>
      <c r="E29" t="s">
        <v>34</v>
      </c>
      <c r="F29" t="s">
        <v>17</v>
      </c>
      <c r="G29" t="s">
        <v>18</v>
      </c>
      <c r="H29" t="s">
        <v>216</v>
      </c>
      <c r="I29" t="s">
        <v>218</v>
      </c>
    </row>
    <row r="30" spans="1:9" x14ac:dyDescent="0.35">
      <c r="A30" t="s">
        <v>221</v>
      </c>
      <c r="B30" t="s">
        <v>222</v>
      </c>
      <c r="C30" t="s">
        <v>214</v>
      </c>
      <c r="D30" t="s">
        <v>223</v>
      </c>
      <c r="E30" t="s">
        <v>16</v>
      </c>
      <c r="F30" t="s">
        <v>17</v>
      </c>
      <c r="G30" t="s">
        <v>224</v>
      </c>
      <c r="H30" t="s">
        <v>225</v>
      </c>
      <c r="I30" t="s">
        <v>226</v>
      </c>
    </row>
    <row r="31" spans="1:9" x14ac:dyDescent="0.35">
      <c r="A31" t="s">
        <v>229</v>
      </c>
      <c r="B31" t="s">
        <v>230</v>
      </c>
      <c r="C31" t="s">
        <v>214</v>
      </c>
      <c r="D31" t="s">
        <v>231</v>
      </c>
      <c r="E31" t="s">
        <v>34</v>
      </c>
      <c r="F31" t="s">
        <v>101</v>
      </c>
      <c r="G31" t="s">
        <v>18</v>
      </c>
      <c r="H31" t="s">
        <v>102</v>
      </c>
      <c r="I31" t="s">
        <v>233</v>
      </c>
    </row>
    <row r="32" spans="1:9" x14ac:dyDescent="0.35">
      <c r="A32" t="s">
        <v>237</v>
      </c>
      <c r="B32" t="s">
        <v>238</v>
      </c>
      <c r="C32" t="s">
        <v>214</v>
      </c>
      <c r="D32" t="s">
        <v>239</v>
      </c>
      <c r="E32" t="s">
        <v>34</v>
      </c>
      <c r="F32" t="s">
        <v>17</v>
      </c>
      <c r="G32" t="s">
        <v>93</v>
      </c>
      <c r="H32" t="s">
        <v>148</v>
      </c>
      <c r="I32" t="s">
        <v>241</v>
      </c>
    </row>
    <row r="33" spans="1:9" x14ac:dyDescent="0.35">
      <c r="A33" t="s">
        <v>243</v>
      </c>
      <c r="B33" t="s">
        <v>244</v>
      </c>
      <c r="C33" t="s">
        <v>214</v>
      </c>
      <c r="D33" t="s">
        <v>245</v>
      </c>
      <c r="E33" t="s">
        <v>34</v>
      </c>
      <c r="F33" t="s">
        <v>17</v>
      </c>
      <c r="G33" t="s">
        <v>224</v>
      </c>
      <c r="H33" t="s">
        <v>216</v>
      </c>
      <c r="I33" t="s">
        <v>247</v>
      </c>
    </row>
    <row r="34" spans="1:9" x14ac:dyDescent="0.35">
      <c r="A34" t="s">
        <v>250</v>
      </c>
      <c r="B34" t="s">
        <v>251</v>
      </c>
      <c r="C34" t="s">
        <v>214</v>
      </c>
      <c r="D34" t="s">
        <v>245</v>
      </c>
      <c r="E34" t="s">
        <v>34</v>
      </c>
      <c r="F34" t="s">
        <v>17</v>
      </c>
      <c r="G34" t="s">
        <v>18</v>
      </c>
      <c r="H34" t="s">
        <v>252</v>
      </c>
      <c r="I34" t="s">
        <v>253</v>
      </c>
    </row>
    <row r="35" spans="1:9" x14ac:dyDescent="0.35">
      <c r="A35" t="s">
        <v>256</v>
      </c>
      <c r="B35" t="s">
        <v>257</v>
      </c>
      <c r="C35" t="s">
        <v>258</v>
      </c>
      <c r="D35" t="s">
        <v>259</v>
      </c>
      <c r="E35" t="s">
        <v>16</v>
      </c>
      <c r="F35" t="s">
        <v>17</v>
      </c>
      <c r="G35" t="s">
        <v>18</v>
      </c>
      <c r="H35" t="s">
        <v>260</v>
      </c>
      <c r="I35" t="s">
        <v>262</v>
      </c>
    </row>
    <row r="36" spans="1:9" x14ac:dyDescent="0.35">
      <c r="A36" t="s">
        <v>265</v>
      </c>
      <c r="B36" t="s">
        <v>266</v>
      </c>
      <c r="C36" t="s">
        <v>258</v>
      </c>
      <c r="D36" t="s">
        <v>267</v>
      </c>
      <c r="E36" t="s">
        <v>16</v>
      </c>
      <c r="F36" t="s">
        <v>17</v>
      </c>
      <c r="G36" t="s">
        <v>18</v>
      </c>
      <c r="H36" t="s">
        <v>268</v>
      </c>
      <c r="I36" t="s">
        <v>270</v>
      </c>
    </row>
    <row r="37" spans="1:9" x14ac:dyDescent="0.35">
      <c r="A37" t="s">
        <v>273</v>
      </c>
      <c r="B37" t="s">
        <v>274</v>
      </c>
      <c r="C37" t="s">
        <v>258</v>
      </c>
      <c r="D37" t="s">
        <v>275</v>
      </c>
      <c r="E37" t="s">
        <v>34</v>
      </c>
      <c r="F37" t="s">
        <v>17</v>
      </c>
      <c r="G37" t="s">
        <v>35</v>
      </c>
      <c r="H37" t="s">
        <v>148</v>
      </c>
      <c r="I37" t="s">
        <v>277</v>
      </c>
    </row>
    <row r="38" spans="1:9" x14ac:dyDescent="0.35">
      <c r="A38" t="s">
        <v>280</v>
      </c>
      <c r="B38" t="s">
        <v>281</v>
      </c>
      <c r="C38" t="s">
        <v>258</v>
      </c>
      <c r="D38" t="s">
        <v>282</v>
      </c>
      <c r="E38" t="s">
        <v>16</v>
      </c>
      <c r="F38" t="s">
        <v>17</v>
      </c>
      <c r="G38" t="s">
        <v>224</v>
      </c>
      <c r="H38" t="s">
        <v>252</v>
      </c>
      <c r="I38" t="s">
        <v>284</v>
      </c>
    </row>
    <row r="39" spans="1:9" x14ac:dyDescent="0.35">
      <c r="A39" t="s">
        <v>286</v>
      </c>
      <c r="B39" t="s">
        <v>287</v>
      </c>
      <c r="C39" t="s">
        <v>258</v>
      </c>
      <c r="D39" t="s">
        <v>288</v>
      </c>
      <c r="E39" t="s">
        <v>16</v>
      </c>
      <c r="F39" t="s">
        <v>17</v>
      </c>
      <c r="G39" t="s">
        <v>224</v>
      </c>
      <c r="H39" t="s">
        <v>252</v>
      </c>
      <c r="I39" t="s">
        <v>289</v>
      </c>
    </row>
    <row r="40" spans="1:9" x14ac:dyDescent="0.35">
      <c r="A40" t="s">
        <v>291</v>
      </c>
      <c r="B40" t="s">
        <v>292</v>
      </c>
      <c r="C40" t="s">
        <v>258</v>
      </c>
      <c r="D40" t="s">
        <v>293</v>
      </c>
      <c r="E40" t="s">
        <v>16</v>
      </c>
      <c r="F40" t="s">
        <v>17</v>
      </c>
      <c r="G40" t="s">
        <v>93</v>
      </c>
      <c r="H40" t="s">
        <v>148</v>
      </c>
      <c r="I40" t="s">
        <v>150</v>
      </c>
    </row>
    <row r="41" spans="1:9" x14ac:dyDescent="0.35">
      <c r="A41" t="s">
        <v>296</v>
      </c>
      <c r="B41" t="s">
        <v>297</v>
      </c>
      <c r="C41" t="s">
        <v>258</v>
      </c>
      <c r="D41" t="s">
        <v>298</v>
      </c>
      <c r="E41" t="s">
        <v>34</v>
      </c>
      <c r="F41" t="s">
        <v>17</v>
      </c>
      <c r="G41" t="s">
        <v>93</v>
      </c>
      <c r="H41" t="s">
        <v>299</v>
      </c>
      <c r="I41" t="s">
        <v>300</v>
      </c>
    </row>
    <row r="42" spans="1:9" x14ac:dyDescent="0.35">
      <c r="A42" t="s">
        <v>303</v>
      </c>
      <c r="B42" t="s">
        <v>304</v>
      </c>
      <c r="C42" t="s">
        <v>258</v>
      </c>
      <c r="D42" t="s">
        <v>305</v>
      </c>
      <c r="E42" t="s">
        <v>34</v>
      </c>
      <c r="F42" t="s">
        <v>17</v>
      </c>
      <c r="G42" t="s">
        <v>45</v>
      </c>
      <c r="H42" t="s">
        <v>306</v>
      </c>
      <c r="I42" t="s">
        <v>308</v>
      </c>
    </row>
    <row r="43" spans="1:9" x14ac:dyDescent="0.35">
      <c r="A43" t="s">
        <v>310</v>
      </c>
      <c r="B43" t="s">
        <v>311</v>
      </c>
      <c r="C43" t="s">
        <v>258</v>
      </c>
      <c r="D43" t="s">
        <v>312</v>
      </c>
      <c r="E43" t="s">
        <v>34</v>
      </c>
      <c r="F43" t="s">
        <v>17</v>
      </c>
      <c r="G43" t="s">
        <v>35</v>
      </c>
      <c r="H43" t="s">
        <v>148</v>
      </c>
      <c r="I43" t="s">
        <v>313</v>
      </c>
    </row>
    <row r="44" spans="1:9" x14ac:dyDescent="0.35">
      <c r="A44" t="s">
        <v>315</v>
      </c>
      <c r="B44" t="s">
        <v>316</v>
      </c>
      <c r="C44" t="s">
        <v>258</v>
      </c>
      <c r="D44" t="s">
        <v>317</v>
      </c>
      <c r="E44" t="s">
        <v>318</v>
      </c>
      <c r="F44" t="s">
        <v>17</v>
      </c>
      <c r="G44" t="s">
        <v>319</v>
      </c>
      <c r="H44" t="s">
        <v>320</v>
      </c>
      <c r="I44" t="s">
        <v>321</v>
      </c>
    </row>
    <row r="45" spans="1:9" x14ac:dyDescent="0.35">
      <c r="A45" t="s">
        <v>325</v>
      </c>
      <c r="B45" t="s">
        <v>326</v>
      </c>
      <c r="C45" t="s">
        <v>327</v>
      </c>
      <c r="D45" t="s">
        <v>328</v>
      </c>
      <c r="E45" t="s">
        <v>16</v>
      </c>
      <c r="F45" t="s">
        <v>17</v>
      </c>
      <c r="G45" t="s">
        <v>18</v>
      </c>
      <c r="H45" t="s">
        <v>329</v>
      </c>
      <c r="I45" t="s">
        <v>331</v>
      </c>
    </row>
    <row r="46" spans="1:9" x14ac:dyDescent="0.35">
      <c r="A46" t="s">
        <v>334</v>
      </c>
      <c r="B46" t="s">
        <v>335</v>
      </c>
      <c r="C46" t="s">
        <v>327</v>
      </c>
      <c r="D46" t="s">
        <v>336</v>
      </c>
      <c r="E46" t="s">
        <v>16</v>
      </c>
      <c r="F46" t="s">
        <v>17</v>
      </c>
      <c r="G46" t="s">
        <v>18</v>
      </c>
      <c r="H46" t="s">
        <v>329</v>
      </c>
      <c r="I46" t="s">
        <v>337</v>
      </c>
    </row>
    <row r="47" spans="1:9" x14ac:dyDescent="0.35">
      <c r="A47" t="s">
        <v>339</v>
      </c>
      <c r="B47" t="s">
        <v>340</v>
      </c>
      <c r="C47" t="s">
        <v>327</v>
      </c>
      <c r="D47" t="s">
        <v>341</v>
      </c>
      <c r="E47" t="s">
        <v>16</v>
      </c>
      <c r="F47" t="s">
        <v>17</v>
      </c>
      <c r="G47" t="s">
        <v>93</v>
      </c>
      <c r="H47" t="s">
        <v>329</v>
      </c>
      <c r="I47" t="s">
        <v>342</v>
      </c>
    </row>
    <row r="48" spans="1:9" x14ac:dyDescent="0.35">
      <c r="A48" t="s">
        <v>346</v>
      </c>
      <c r="B48" t="s">
        <v>347</v>
      </c>
      <c r="C48" t="s">
        <v>327</v>
      </c>
      <c r="D48" t="s">
        <v>348</v>
      </c>
      <c r="E48" t="s">
        <v>34</v>
      </c>
      <c r="F48" t="s">
        <v>17</v>
      </c>
      <c r="G48" t="s">
        <v>35</v>
      </c>
      <c r="H48" t="s">
        <v>329</v>
      </c>
      <c r="I48" t="s">
        <v>349</v>
      </c>
    </row>
    <row r="49" spans="1:9" x14ac:dyDescent="0.35">
      <c r="A49" t="s">
        <v>352</v>
      </c>
      <c r="B49" t="s">
        <v>353</v>
      </c>
      <c r="C49" t="s">
        <v>327</v>
      </c>
      <c r="D49" t="s">
        <v>354</v>
      </c>
      <c r="E49" t="s">
        <v>34</v>
      </c>
      <c r="F49" t="s">
        <v>17</v>
      </c>
      <c r="G49" t="s">
        <v>35</v>
      </c>
      <c r="H49" t="s">
        <v>329</v>
      </c>
      <c r="I49" t="s">
        <v>355</v>
      </c>
    </row>
    <row r="50" spans="1:9" x14ac:dyDescent="0.35">
      <c r="A50" t="s">
        <v>359</v>
      </c>
      <c r="B50" t="s">
        <v>360</v>
      </c>
      <c r="C50" t="s">
        <v>327</v>
      </c>
      <c r="D50" t="s">
        <v>361</v>
      </c>
      <c r="E50" t="s">
        <v>34</v>
      </c>
      <c r="F50" t="s">
        <v>17</v>
      </c>
      <c r="G50" t="s">
        <v>35</v>
      </c>
      <c r="H50" t="s">
        <v>329</v>
      </c>
      <c r="I50" t="s">
        <v>362</v>
      </c>
    </row>
    <row r="51" spans="1:9" x14ac:dyDescent="0.35">
      <c r="A51" t="s">
        <v>365</v>
      </c>
      <c r="B51" t="s">
        <v>366</v>
      </c>
      <c r="C51" t="s">
        <v>327</v>
      </c>
      <c r="D51" t="s">
        <v>367</v>
      </c>
      <c r="E51" t="s">
        <v>318</v>
      </c>
      <c r="F51" t="s">
        <v>17</v>
      </c>
      <c r="G51" t="s">
        <v>319</v>
      </c>
      <c r="H51" t="s">
        <v>329</v>
      </c>
      <c r="I51" t="s">
        <v>368</v>
      </c>
    </row>
    <row r="52" spans="1:9" x14ac:dyDescent="0.35">
      <c r="A52" t="s">
        <v>371</v>
      </c>
      <c r="B52" t="s">
        <v>372</v>
      </c>
      <c r="C52" t="s">
        <v>373</v>
      </c>
      <c r="D52" t="s">
        <v>374</v>
      </c>
      <c r="E52" t="s">
        <v>16</v>
      </c>
      <c r="F52" t="s">
        <v>17</v>
      </c>
      <c r="G52" t="s">
        <v>18</v>
      </c>
      <c r="H52" t="s">
        <v>375</v>
      </c>
      <c r="I52" t="s">
        <v>377</v>
      </c>
    </row>
    <row r="53" spans="1:9" x14ac:dyDescent="0.35">
      <c r="A53" t="s">
        <v>380</v>
      </c>
      <c r="B53" t="s">
        <v>381</v>
      </c>
      <c r="C53" t="s">
        <v>373</v>
      </c>
      <c r="D53" t="s">
        <v>382</v>
      </c>
      <c r="E53" t="s">
        <v>16</v>
      </c>
      <c r="F53" t="s">
        <v>17</v>
      </c>
      <c r="G53" t="s">
        <v>18</v>
      </c>
      <c r="H53" t="s">
        <v>375</v>
      </c>
      <c r="I53" t="s">
        <v>384</v>
      </c>
    </row>
    <row r="54" spans="1:9" x14ac:dyDescent="0.35">
      <c r="A54" t="s">
        <v>387</v>
      </c>
      <c r="B54" t="s">
        <v>388</v>
      </c>
      <c r="C54" t="s">
        <v>373</v>
      </c>
      <c r="D54" t="s">
        <v>389</v>
      </c>
      <c r="E54" t="s">
        <v>16</v>
      </c>
      <c r="F54" t="s">
        <v>17</v>
      </c>
      <c r="G54" t="s">
        <v>35</v>
      </c>
      <c r="H54" t="s">
        <v>375</v>
      </c>
      <c r="I54" t="s">
        <v>391</v>
      </c>
    </row>
    <row r="55" spans="1:9" x14ac:dyDescent="0.35">
      <c r="A55" t="s">
        <v>394</v>
      </c>
      <c r="B55" t="s">
        <v>395</v>
      </c>
      <c r="C55" t="s">
        <v>373</v>
      </c>
      <c r="D55" t="s">
        <v>396</v>
      </c>
      <c r="E55" t="s">
        <v>16</v>
      </c>
      <c r="F55" t="s">
        <v>17</v>
      </c>
      <c r="G55" t="s">
        <v>93</v>
      </c>
      <c r="H55" t="s">
        <v>375</v>
      </c>
      <c r="I55" t="s">
        <v>398</v>
      </c>
    </row>
    <row r="56" spans="1:9" x14ac:dyDescent="0.35">
      <c r="A56" t="s">
        <v>401</v>
      </c>
      <c r="B56" t="s">
        <v>402</v>
      </c>
      <c r="C56" t="s">
        <v>373</v>
      </c>
      <c r="D56" t="s">
        <v>403</v>
      </c>
      <c r="E56" t="s">
        <v>16</v>
      </c>
      <c r="F56" t="s">
        <v>17</v>
      </c>
      <c r="G56" t="s">
        <v>93</v>
      </c>
      <c r="H56" t="s">
        <v>375</v>
      </c>
      <c r="I56" t="s">
        <v>405</v>
      </c>
    </row>
    <row r="57" spans="1:9" x14ac:dyDescent="0.35">
      <c r="A57" t="s">
        <v>407</v>
      </c>
      <c r="B57" t="s">
        <v>408</v>
      </c>
      <c r="C57" t="s">
        <v>409</v>
      </c>
      <c r="D57" t="s">
        <v>410</v>
      </c>
      <c r="E57" t="s">
        <v>16</v>
      </c>
      <c r="F57" t="s">
        <v>17</v>
      </c>
      <c r="G57" t="s">
        <v>18</v>
      </c>
      <c r="H57" t="s">
        <v>411</v>
      </c>
      <c r="I57" t="s">
        <v>413</v>
      </c>
    </row>
    <row r="58" spans="1:9" x14ac:dyDescent="0.35">
      <c r="A58" t="s">
        <v>417</v>
      </c>
      <c r="B58" t="s">
        <v>418</v>
      </c>
      <c r="C58" t="s">
        <v>409</v>
      </c>
      <c r="D58" t="s">
        <v>419</v>
      </c>
      <c r="E58" t="s">
        <v>16</v>
      </c>
      <c r="F58" t="s">
        <v>17</v>
      </c>
      <c r="G58" t="s">
        <v>18</v>
      </c>
      <c r="H58" t="s">
        <v>193</v>
      </c>
      <c r="I58" t="s">
        <v>421</v>
      </c>
    </row>
    <row r="59" spans="1:9" x14ac:dyDescent="0.35">
      <c r="A59" t="s">
        <v>425</v>
      </c>
      <c r="B59" t="s">
        <v>426</v>
      </c>
      <c r="C59" t="s">
        <v>409</v>
      </c>
      <c r="D59" t="s">
        <v>427</v>
      </c>
      <c r="E59" t="s">
        <v>16</v>
      </c>
      <c r="F59" t="s">
        <v>17</v>
      </c>
      <c r="G59" t="s">
        <v>18</v>
      </c>
      <c r="H59" t="s">
        <v>193</v>
      </c>
      <c r="I59" t="s">
        <v>429</v>
      </c>
    </row>
    <row r="60" spans="1:9" x14ac:dyDescent="0.35">
      <c r="A60" t="s">
        <v>432</v>
      </c>
      <c r="B60" t="s">
        <v>433</v>
      </c>
      <c r="C60" t="s">
        <v>409</v>
      </c>
      <c r="D60" t="s">
        <v>434</v>
      </c>
      <c r="E60" t="s">
        <v>34</v>
      </c>
      <c r="F60" t="s">
        <v>17</v>
      </c>
      <c r="G60" t="s">
        <v>18</v>
      </c>
      <c r="H60" t="s">
        <v>193</v>
      </c>
      <c r="I60" t="s">
        <v>436</v>
      </c>
    </row>
    <row r="61" spans="1:9" x14ac:dyDescent="0.35">
      <c r="A61" t="s">
        <v>439</v>
      </c>
      <c r="B61" t="s">
        <v>440</v>
      </c>
      <c r="C61" t="s">
        <v>409</v>
      </c>
      <c r="D61" t="s">
        <v>441</v>
      </c>
      <c r="E61" t="s">
        <v>34</v>
      </c>
      <c r="F61" t="s">
        <v>17</v>
      </c>
      <c r="G61" t="s">
        <v>93</v>
      </c>
      <c r="H61" t="s">
        <v>193</v>
      </c>
      <c r="I61" t="s">
        <v>443</v>
      </c>
    </row>
    <row r="62" spans="1:9" x14ac:dyDescent="0.35">
      <c r="A62" t="s">
        <v>446</v>
      </c>
      <c r="B62" t="s">
        <v>447</v>
      </c>
      <c r="C62" t="s">
        <v>409</v>
      </c>
      <c r="D62" t="s">
        <v>448</v>
      </c>
      <c r="E62" t="s">
        <v>34</v>
      </c>
      <c r="F62" t="s">
        <v>17</v>
      </c>
      <c r="G62" t="s">
        <v>93</v>
      </c>
      <c r="H62" t="s">
        <v>193</v>
      </c>
      <c r="I62" t="s">
        <v>450</v>
      </c>
    </row>
    <row r="63" spans="1:9" x14ac:dyDescent="0.35">
      <c r="A63" t="s">
        <v>452</v>
      </c>
      <c r="B63" t="s">
        <v>453</v>
      </c>
      <c r="C63" t="s">
        <v>409</v>
      </c>
      <c r="D63" t="s">
        <v>454</v>
      </c>
      <c r="E63" t="s">
        <v>34</v>
      </c>
      <c r="F63" t="s">
        <v>17</v>
      </c>
      <c r="G63" t="s">
        <v>93</v>
      </c>
      <c r="H63" t="s">
        <v>193</v>
      </c>
      <c r="I63" t="s">
        <v>456</v>
      </c>
    </row>
    <row r="64" spans="1:9" x14ac:dyDescent="0.35">
      <c r="A64" t="s">
        <v>459</v>
      </c>
      <c r="B64" t="s">
        <v>460</v>
      </c>
      <c r="C64" t="s">
        <v>409</v>
      </c>
      <c r="D64" t="s">
        <v>461</v>
      </c>
      <c r="E64" t="s">
        <v>16</v>
      </c>
      <c r="F64" t="s">
        <v>17</v>
      </c>
      <c r="G64" t="s">
        <v>93</v>
      </c>
      <c r="H64" t="s">
        <v>193</v>
      </c>
      <c r="I64" t="s">
        <v>463</v>
      </c>
    </row>
    <row r="65" spans="1:9" x14ac:dyDescent="0.35">
      <c r="A65" t="s">
        <v>466</v>
      </c>
      <c r="B65" t="s">
        <v>467</v>
      </c>
      <c r="C65" t="s">
        <v>409</v>
      </c>
      <c r="D65" t="s">
        <v>468</v>
      </c>
      <c r="E65" t="s">
        <v>34</v>
      </c>
      <c r="F65" t="s">
        <v>17</v>
      </c>
      <c r="G65" t="s">
        <v>18</v>
      </c>
      <c r="H65" t="s">
        <v>193</v>
      </c>
      <c r="I65" t="s">
        <v>470</v>
      </c>
    </row>
    <row r="66" spans="1:9" x14ac:dyDescent="0.35">
      <c r="A66" t="s">
        <v>473</v>
      </c>
      <c r="B66" t="s">
        <v>474</v>
      </c>
      <c r="C66" t="s">
        <v>475</v>
      </c>
      <c r="D66" t="s">
        <v>476</v>
      </c>
      <c r="E66" t="s">
        <v>16</v>
      </c>
      <c r="F66" t="s">
        <v>17</v>
      </c>
      <c r="G66" t="s">
        <v>18</v>
      </c>
      <c r="H66" t="s">
        <v>477</v>
      </c>
      <c r="I66" t="s">
        <v>479</v>
      </c>
    </row>
    <row r="67" spans="1:9" x14ac:dyDescent="0.35">
      <c r="A67" t="s">
        <v>482</v>
      </c>
      <c r="B67" t="s">
        <v>483</v>
      </c>
      <c r="C67" t="s">
        <v>475</v>
      </c>
      <c r="D67" t="s">
        <v>484</v>
      </c>
      <c r="E67" t="s">
        <v>16</v>
      </c>
      <c r="F67" t="s">
        <v>17</v>
      </c>
      <c r="G67" t="s">
        <v>18</v>
      </c>
      <c r="H67" t="s">
        <v>477</v>
      </c>
      <c r="I67" t="s">
        <v>486</v>
      </c>
    </row>
    <row r="68" spans="1:9" x14ac:dyDescent="0.35">
      <c r="A68" t="s">
        <v>489</v>
      </c>
      <c r="B68" t="s">
        <v>490</v>
      </c>
      <c r="C68" t="s">
        <v>475</v>
      </c>
      <c r="D68" t="s">
        <v>491</v>
      </c>
      <c r="E68" t="s">
        <v>34</v>
      </c>
      <c r="F68" t="s">
        <v>17</v>
      </c>
      <c r="G68" t="s">
        <v>93</v>
      </c>
      <c r="H68" t="s">
        <v>477</v>
      </c>
      <c r="I68" t="s">
        <v>493</v>
      </c>
    </row>
    <row r="69" spans="1:9" x14ac:dyDescent="0.35">
      <c r="A69" t="s">
        <v>496</v>
      </c>
      <c r="B69" t="s">
        <v>497</v>
      </c>
      <c r="C69" t="s">
        <v>475</v>
      </c>
      <c r="D69" t="s">
        <v>498</v>
      </c>
      <c r="E69" t="s">
        <v>34</v>
      </c>
      <c r="F69" t="s">
        <v>17</v>
      </c>
      <c r="G69" t="s">
        <v>93</v>
      </c>
      <c r="H69" t="s">
        <v>477</v>
      </c>
      <c r="I69" t="s">
        <v>500</v>
      </c>
    </row>
    <row r="70" spans="1:9" x14ac:dyDescent="0.35">
      <c r="A70" t="s">
        <v>502</v>
      </c>
      <c r="B70" t="s">
        <v>503</v>
      </c>
      <c r="C70" t="s">
        <v>475</v>
      </c>
      <c r="D70" t="s">
        <v>504</v>
      </c>
      <c r="E70" t="s">
        <v>34</v>
      </c>
      <c r="F70" t="s">
        <v>17</v>
      </c>
      <c r="G70" t="s">
        <v>35</v>
      </c>
      <c r="H70" t="s">
        <v>477</v>
      </c>
      <c r="I70" t="s">
        <v>506</v>
      </c>
    </row>
    <row r="71" spans="1:9" x14ac:dyDescent="0.35">
      <c r="A71" t="s">
        <v>509</v>
      </c>
      <c r="B71" t="s">
        <v>510</v>
      </c>
      <c r="C71" t="s">
        <v>511</v>
      </c>
      <c r="D71" t="s">
        <v>512</v>
      </c>
      <c r="E71" t="s">
        <v>16</v>
      </c>
      <c r="F71" t="s">
        <v>17</v>
      </c>
      <c r="G71" t="s">
        <v>18</v>
      </c>
      <c r="H71" t="s">
        <v>513</v>
      </c>
      <c r="I71" t="s">
        <v>515</v>
      </c>
    </row>
    <row r="72" spans="1:9" x14ac:dyDescent="0.35">
      <c r="A72" t="s">
        <v>517</v>
      </c>
      <c r="B72" t="s">
        <v>518</v>
      </c>
      <c r="C72" t="s">
        <v>511</v>
      </c>
      <c r="D72" t="s">
        <v>512</v>
      </c>
      <c r="E72" t="s">
        <v>16</v>
      </c>
      <c r="F72" t="s">
        <v>17</v>
      </c>
      <c r="G72" t="s">
        <v>18</v>
      </c>
      <c r="H72" t="s">
        <v>519</v>
      </c>
      <c r="I72" t="s">
        <v>521</v>
      </c>
    </row>
    <row r="73" spans="1:9" x14ac:dyDescent="0.35">
      <c r="A73" t="s">
        <v>524</v>
      </c>
      <c r="B73" t="s">
        <v>525</v>
      </c>
      <c r="C73" t="s">
        <v>511</v>
      </c>
      <c r="D73" t="s">
        <v>526</v>
      </c>
      <c r="E73" t="s">
        <v>16</v>
      </c>
      <c r="F73" t="s">
        <v>17</v>
      </c>
      <c r="G73" t="s">
        <v>93</v>
      </c>
      <c r="H73" t="s">
        <v>513</v>
      </c>
      <c r="I73" t="s">
        <v>528</v>
      </c>
    </row>
    <row r="74" spans="1:9" x14ac:dyDescent="0.35">
      <c r="A74" t="s">
        <v>530</v>
      </c>
      <c r="B74" t="s">
        <v>531</v>
      </c>
      <c r="C74" t="s">
        <v>511</v>
      </c>
      <c r="D74" t="s">
        <v>532</v>
      </c>
      <c r="E74" t="s">
        <v>16</v>
      </c>
      <c r="F74" t="s">
        <v>17</v>
      </c>
      <c r="G74" t="s">
        <v>93</v>
      </c>
      <c r="H74" t="s">
        <v>533</v>
      </c>
      <c r="I74" t="s">
        <v>535</v>
      </c>
    </row>
    <row r="75" spans="1:9" x14ac:dyDescent="0.35">
      <c r="A75" t="s">
        <v>538</v>
      </c>
      <c r="B75" t="s">
        <v>539</v>
      </c>
      <c r="C75" t="s">
        <v>511</v>
      </c>
      <c r="D75" t="s">
        <v>540</v>
      </c>
      <c r="E75" t="s">
        <v>34</v>
      </c>
      <c r="F75" t="s">
        <v>17</v>
      </c>
      <c r="G75" t="s">
        <v>35</v>
      </c>
      <c r="H75" t="s">
        <v>533</v>
      </c>
      <c r="I75" t="s">
        <v>542</v>
      </c>
    </row>
    <row r="76" spans="1:9" x14ac:dyDescent="0.35">
      <c r="A76" t="s">
        <v>544</v>
      </c>
      <c r="B76" t="s">
        <v>545</v>
      </c>
      <c r="C76" t="s">
        <v>511</v>
      </c>
      <c r="D76" t="s">
        <v>546</v>
      </c>
      <c r="E76" t="s">
        <v>16</v>
      </c>
      <c r="F76" t="s">
        <v>17</v>
      </c>
      <c r="G76" t="s">
        <v>93</v>
      </c>
      <c r="H76" t="s">
        <v>533</v>
      </c>
      <c r="I76" t="s">
        <v>548</v>
      </c>
    </row>
    <row r="77" spans="1:9" x14ac:dyDescent="0.35">
      <c r="A77" t="s">
        <v>550</v>
      </c>
      <c r="B77" t="s">
        <v>551</v>
      </c>
      <c r="C77" t="s">
        <v>511</v>
      </c>
      <c r="D77" t="s">
        <v>552</v>
      </c>
      <c r="E77" t="s">
        <v>34</v>
      </c>
      <c r="F77" t="s">
        <v>17</v>
      </c>
      <c r="G77" t="s">
        <v>93</v>
      </c>
      <c r="H77" t="s">
        <v>533</v>
      </c>
      <c r="I77" t="s">
        <v>554</v>
      </c>
    </row>
    <row r="78" spans="1:9" x14ac:dyDescent="0.35">
      <c r="A78" t="s">
        <v>556</v>
      </c>
      <c r="B78" t="s">
        <v>557</v>
      </c>
      <c r="C78" t="s">
        <v>511</v>
      </c>
      <c r="D78" t="s">
        <v>558</v>
      </c>
      <c r="E78" t="s">
        <v>16</v>
      </c>
      <c r="F78" t="s">
        <v>17</v>
      </c>
      <c r="G78" t="s">
        <v>224</v>
      </c>
      <c r="H78" t="s">
        <v>252</v>
      </c>
      <c r="I78" t="s">
        <v>289</v>
      </c>
    </row>
    <row r="79" spans="1:9" x14ac:dyDescent="0.35">
      <c r="A79" t="s">
        <v>560</v>
      </c>
      <c r="B79" t="s">
        <v>561</v>
      </c>
      <c r="C79" t="s">
        <v>511</v>
      </c>
      <c r="D79" t="s">
        <v>562</v>
      </c>
      <c r="E79" t="s">
        <v>34</v>
      </c>
      <c r="F79" t="s">
        <v>17</v>
      </c>
      <c r="G79" t="s">
        <v>35</v>
      </c>
      <c r="H79" t="s">
        <v>299</v>
      </c>
      <c r="I79" t="s">
        <v>563</v>
      </c>
    </row>
    <row r="80" spans="1:9" x14ac:dyDescent="0.35">
      <c r="A80" t="s">
        <v>565</v>
      </c>
      <c r="B80" t="s">
        <v>566</v>
      </c>
      <c r="C80" t="s">
        <v>511</v>
      </c>
      <c r="D80" t="s">
        <v>567</v>
      </c>
      <c r="E80" t="s">
        <v>34</v>
      </c>
      <c r="F80" t="s">
        <v>17</v>
      </c>
      <c r="G80" t="s">
        <v>18</v>
      </c>
      <c r="H80" t="s">
        <v>533</v>
      </c>
      <c r="I80" t="s">
        <v>569</v>
      </c>
    </row>
    <row r="81" spans="1:9" x14ac:dyDescent="0.35">
      <c r="A81" t="s">
        <v>572</v>
      </c>
      <c r="B81" t="s">
        <v>573</v>
      </c>
      <c r="C81" t="s">
        <v>511</v>
      </c>
      <c r="D81" t="s">
        <v>574</v>
      </c>
      <c r="E81" t="s">
        <v>318</v>
      </c>
      <c r="F81" t="s">
        <v>17</v>
      </c>
      <c r="G81" t="s">
        <v>319</v>
      </c>
      <c r="H81" t="s">
        <v>575</v>
      </c>
      <c r="I81" t="s">
        <v>576</v>
      </c>
    </row>
    <row r="82" spans="1:9" x14ac:dyDescent="0.35">
      <c r="A82" t="s">
        <v>579</v>
      </c>
      <c r="B82" t="s">
        <v>580</v>
      </c>
      <c r="C82" t="s">
        <v>581</v>
      </c>
      <c r="D82" t="s">
        <v>582</v>
      </c>
      <c r="E82" t="s">
        <v>16</v>
      </c>
      <c r="F82" t="s">
        <v>17</v>
      </c>
      <c r="G82" t="s">
        <v>18</v>
      </c>
      <c r="H82" t="s">
        <v>583</v>
      </c>
      <c r="I82" t="s">
        <v>585</v>
      </c>
    </row>
    <row r="83" spans="1:9" x14ac:dyDescent="0.35">
      <c r="A83" t="s">
        <v>587</v>
      </c>
      <c r="B83" t="s">
        <v>588</v>
      </c>
      <c r="C83" t="s">
        <v>581</v>
      </c>
      <c r="D83" t="s">
        <v>589</v>
      </c>
      <c r="E83" t="s">
        <v>16</v>
      </c>
      <c r="F83" t="s">
        <v>17</v>
      </c>
      <c r="G83" t="s">
        <v>93</v>
      </c>
      <c r="H83" t="s">
        <v>590</v>
      </c>
      <c r="I83" t="s">
        <v>592</v>
      </c>
    </row>
    <row r="84" spans="1:9" x14ac:dyDescent="0.35">
      <c r="A84" t="s">
        <v>594</v>
      </c>
      <c r="B84" t="s">
        <v>595</v>
      </c>
      <c r="C84" t="s">
        <v>581</v>
      </c>
      <c r="D84" t="s">
        <v>596</v>
      </c>
      <c r="E84" t="s">
        <v>34</v>
      </c>
      <c r="F84" t="s">
        <v>101</v>
      </c>
      <c r="G84" t="s">
        <v>45</v>
      </c>
      <c r="H84" t="s">
        <v>102</v>
      </c>
      <c r="I84" t="s">
        <v>598</v>
      </c>
    </row>
    <row r="85" spans="1:9" x14ac:dyDescent="0.35">
      <c r="A85" t="s">
        <v>601</v>
      </c>
      <c r="B85" t="s">
        <v>602</v>
      </c>
      <c r="C85" t="s">
        <v>581</v>
      </c>
      <c r="D85" t="s">
        <v>603</v>
      </c>
      <c r="E85" t="s">
        <v>34</v>
      </c>
      <c r="F85" t="s">
        <v>101</v>
      </c>
      <c r="G85" t="s">
        <v>18</v>
      </c>
      <c r="H85" t="s">
        <v>102</v>
      </c>
      <c r="I85" t="s">
        <v>605</v>
      </c>
    </row>
    <row r="86" spans="1:9" x14ac:dyDescent="0.35">
      <c r="A86" t="s">
        <v>608</v>
      </c>
      <c r="B86" t="s">
        <v>609</v>
      </c>
      <c r="C86" t="s">
        <v>581</v>
      </c>
      <c r="D86" t="s">
        <v>610</v>
      </c>
      <c r="E86" t="s">
        <v>318</v>
      </c>
      <c r="F86" t="s">
        <v>17</v>
      </c>
      <c r="G86" t="s">
        <v>319</v>
      </c>
      <c r="H86" t="s">
        <v>611</v>
      </c>
      <c r="I86" t="s">
        <v>612</v>
      </c>
    </row>
    <row r="87" spans="1:9" x14ac:dyDescent="0.35">
      <c r="A87" t="s">
        <v>614</v>
      </c>
      <c r="B87" t="s">
        <v>615</v>
      </c>
      <c r="C87" t="s">
        <v>616</v>
      </c>
      <c r="D87" t="s">
        <v>617</v>
      </c>
      <c r="E87" t="s">
        <v>16</v>
      </c>
      <c r="F87" t="s">
        <v>17</v>
      </c>
      <c r="G87" t="s">
        <v>18</v>
      </c>
      <c r="H87" t="s">
        <v>533</v>
      </c>
      <c r="I87" t="s">
        <v>619</v>
      </c>
    </row>
    <row r="88" spans="1:9" x14ac:dyDescent="0.35">
      <c r="A88" t="s">
        <v>622</v>
      </c>
      <c r="B88" t="s">
        <v>623</v>
      </c>
      <c r="C88" t="s">
        <v>616</v>
      </c>
      <c r="D88" t="s">
        <v>624</v>
      </c>
      <c r="E88" t="s">
        <v>16</v>
      </c>
      <c r="F88" t="s">
        <v>17</v>
      </c>
      <c r="G88" t="s">
        <v>93</v>
      </c>
      <c r="H88" t="s">
        <v>533</v>
      </c>
      <c r="I88" t="s">
        <v>626</v>
      </c>
    </row>
    <row r="89" spans="1:9" x14ac:dyDescent="0.35">
      <c r="A89" t="s">
        <v>628</v>
      </c>
      <c r="B89" t="s">
        <v>629</v>
      </c>
      <c r="C89" t="s">
        <v>616</v>
      </c>
      <c r="D89" t="s">
        <v>630</v>
      </c>
      <c r="E89" t="s">
        <v>16</v>
      </c>
      <c r="F89" t="s">
        <v>17</v>
      </c>
      <c r="G89" t="s">
        <v>93</v>
      </c>
      <c r="H89" t="s">
        <v>533</v>
      </c>
      <c r="I89" t="s">
        <v>632</v>
      </c>
    </row>
    <row r="90" spans="1:9" x14ac:dyDescent="0.35">
      <c r="A90" t="s">
        <v>634</v>
      </c>
      <c r="B90" t="s">
        <v>635</v>
      </c>
      <c r="C90" t="s">
        <v>616</v>
      </c>
      <c r="D90" t="s">
        <v>636</v>
      </c>
      <c r="E90" t="s">
        <v>34</v>
      </c>
      <c r="F90" t="s">
        <v>17</v>
      </c>
      <c r="G90" t="s">
        <v>35</v>
      </c>
      <c r="H90" t="s">
        <v>533</v>
      </c>
      <c r="I90" t="s">
        <v>638</v>
      </c>
    </row>
    <row r="91" spans="1:9" x14ac:dyDescent="0.35">
      <c r="A91" t="s">
        <v>640</v>
      </c>
      <c r="B91" t="s">
        <v>641</v>
      </c>
      <c r="C91" t="s">
        <v>616</v>
      </c>
      <c r="D91" t="s">
        <v>567</v>
      </c>
      <c r="E91" t="s">
        <v>34</v>
      </c>
      <c r="F91" t="s">
        <v>17</v>
      </c>
      <c r="G91" t="s">
        <v>18</v>
      </c>
      <c r="H91" t="s">
        <v>642</v>
      </c>
      <c r="I91" t="s">
        <v>644</v>
      </c>
    </row>
    <row r="92" spans="1:9" x14ac:dyDescent="0.35">
      <c r="A92" t="s">
        <v>647</v>
      </c>
      <c r="B92" t="s">
        <v>648</v>
      </c>
      <c r="C92" t="s">
        <v>649</v>
      </c>
      <c r="D92" t="s">
        <v>650</v>
      </c>
      <c r="E92" t="s">
        <v>16</v>
      </c>
      <c r="F92" t="s">
        <v>17</v>
      </c>
      <c r="G92" t="s">
        <v>18</v>
      </c>
      <c r="H92" t="s">
        <v>651</v>
      </c>
      <c r="I92" t="s">
        <v>653</v>
      </c>
    </row>
    <row r="93" spans="1:9" x14ac:dyDescent="0.35">
      <c r="A93" t="s">
        <v>656</v>
      </c>
      <c r="B93" t="s">
        <v>657</v>
      </c>
      <c r="C93" t="s">
        <v>649</v>
      </c>
      <c r="D93" t="s">
        <v>658</v>
      </c>
      <c r="E93" t="s">
        <v>34</v>
      </c>
      <c r="F93" t="s">
        <v>17</v>
      </c>
      <c r="G93" t="s">
        <v>35</v>
      </c>
      <c r="H93" t="s">
        <v>651</v>
      </c>
      <c r="I93" t="s">
        <v>660</v>
      </c>
    </row>
    <row r="94" spans="1:9" x14ac:dyDescent="0.35">
      <c r="A94" t="s">
        <v>663</v>
      </c>
      <c r="B94" t="s">
        <v>664</v>
      </c>
      <c r="C94" t="s">
        <v>649</v>
      </c>
      <c r="D94" t="s">
        <v>665</v>
      </c>
      <c r="E94" t="s">
        <v>16</v>
      </c>
      <c r="F94" t="s">
        <v>17</v>
      </c>
      <c r="G94" t="s">
        <v>93</v>
      </c>
      <c r="H94" t="s">
        <v>651</v>
      </c>
      <c r="I94" t="s">
        <v>667</v>
      </c>
    </row>
    <row r="95" spans="1:9" x14ac:dyDescent="0.35">
      <c r="A95" t="s">
        <v>669</v>
      </c>
      <c r="B95" t="s">
        <v>670</v>
      </c>
      <c r="C95" t="s">
        <v>649</v>
      </c>
      <c r="D95" t="s">
        <v>671</v>
      </c>
      <c r="E95" t="s">
        <v>16</v>
      </c>
      <c r="F95" t="s">
        <v>17</v>
      </c>
      <c r="G95" t="s">
        <v>93</v>
      </c>
      <c r="H95" t="s">
        <v>651</v>
      </c>
      <c r="I95" t="s">
        <v>673</v>
      </c>
    </row>
    <row r="96" spans="1:9" x14ac:dyDescent="0.35">
      <c r="A96" t="s">
        <v>675</v>
      </c>
      <c r="B96" t="s">
        <v>676</v>
      </c>
      <c r="C96" t="s">
        <v>649</v>
      </c>
      <c r="D96" t="s">
        <v>677</v>
      </c>
      <c r="E96" t="s">
        <v>34</v>
      </c>
      <c r="F96" t="s">
        <v>17</v>
      </c>
      <c r="G96" t="s">
        <v>18</v>
      </c>
      <c r="H96" t="s">
        <v>642</v>
      </c>
      <c r="I96" t="s">
        <v>679</v>
      </c>
    </row>
    <row r="97" spans="1:9" x14ac:dyDescent="0.35">
      <c r="A97" t="s">
        <v>682</v>
      </c>
      <c r="B97" t="s">
        <v>683</v>
      </c>
      <c r="C97" t="s">
        <v>684</v>
      </c>
      <c r="D97" t="s">
        <v>685</v>
      </c>
      <c r="E97" t="s">
        <v>16</v>
      </c>
      <c r="F97" t="s">
        <v>17</v>
      </c>
      <c r="G97" t="s">
        <v>18</v>
      </c>
      <c r="H97" t="s">
        <v>686</v>
      </c>
      <c r="I97" t="s">
        <v>688</v>
      </c>
    </row>
    <row r="98" spans="1:9" x14ac:dyDescent="0.35">
      <c r="A98" t="s">
        <v>690</v>
      </c>
      <c r="B98" t="s">
        <v>691</v>
      </c>
      <c r="C98" t="s">
        <v>684</v>
      </c>
      <c r="D98" t="s">
        <v>692</v>
      </c>
      <c r="E98" t="s">
        <v>16</v>
      </c>
      <c r="F98" t="s">
        <v>17</v>
      </c>
      <c r="G98" t="s">
        <v>18</v>
      </c>
      <c r="H98" t="s">
        <v>693</v>
      </c>
      <c r="I98" t="s">
        <v>695</v>
      </c>
    </row>
    <row r="99" spans="1:9" x14ac:dyDescent="0.35">
      <c r="A99" t="s">
        <v>698</v>
      </c>
      <c r="B99" t="s">
        <v>699</v>
      </c>
      <c r="C99" t="s">
        <v>684</v>
      </c>
      <c r="D99" t="s">
        <v>700</v>
      </c>
      <c r="E99" t="s">
        <v>16</v>
      </c>
      <c r="F99" t="s">
        <v>17</v>
      </c>
      <c r="G99" t="s">
        <v>18</v>
      </c>
      <c r="H99" t="s">
        <v>70</v>
      </c>
      <c r="I99" t="s">
        <v>701</v>
      </c>
    </row>
    <row r="100" spans="1:9" x14ac:dyDescent="0.35">
      <c r="A100" t="s">
        <v>704</v>
      </c>
      <c r="B100" t="s">
        <v>705</v>
      </c>
      <c r="C100" t="s">
        <v>684</v>
      </c>
      <c r="D100" t="s">
        <v>706</v>
      </c>
      <c r="E100" t="s">
        <v>34</v>
      </c>
      <c r="F100" t="s">
        <v>17</v>
      </c>
      <c r="G100" t="s">
        <v>35</v>
      </c>
      <c r="H100" t="s">
        <v>693</v>
      </c>
      <c r="I100" t="s">
        <v>708</v>
      </c>
    </row>
    <row r="101" spans="1:9" x14ac:dyDescent="0.35">
      <c r="A101" t="s">
        <v>710</v>
      </c>
      <c r="B101" t="s">
        <v>711</v>
      </c>
      <c r="C101" t="s">
        <v>684</v>
      </c>
      <c r="D101" t="s">
        <v>712</v>
      </c>
      <c r="E101" t="s">
        <v>34</v>
      </c>
      <c r="F101" t="s">
        <v>17</v>
      </c>
      <c r="G101" t="s">
        <v>93</v>
      </c>
      <c r="H101" t="s">
        <v>713</v>
      </c>
      <c r="I101" t="s">
        <v>715</v>
      </c>
    </row>
    <row r="102" spans="1:9" x14ac:dyDescent="0.35">
      <c r="A102" t="s">
        <v>718</v>
      </c>
      <c r="B102" t="s">
        <v>719</v>
      </c>
      <c r="C102" t="s">
        <v>684</v>
      </c>
      <c r="D102" t="s">
        <v>720</v>
      </c>
      <c r="E102" t="s">
        <v>34</v>
      </c>
      <c r="F102" t="s">
        <v>17</v>
      </c>
      <c r="G102" t="s">
        <v>93</v>
      </c>
      <c r="H102" t="s">
        <v>299</v>
      </c>
      <c r="I102" t="s">
        <v>722</v>
      </c>
    </row>
    <row r="103" spans="1:9" x14ac:dyDescent="0.35">
      <c r="A103" t="s">
        <v>724</v>
      </c>
      <c r="B103" t="s">
        <v>725</v>
      </c>
      <c r="C103" t="s">
        <v>684</v>
      </c>
      <c r="D103" t="s">
        <v>726</v>
      </c>
      <c r="E103" t="s">
        <v>34</v>
      </c>
      <c r="F103" t="s">
        <v>17</v>
      </c>
      <c r="G103" t="s">
        <v>93</v>
      </c>
      <c r="H103" t="s">
        <v>299</v>
      </c>
      <c r="I103" t="s">
        <v>727</v>
      </c>
    </row>
    <row r="104" spans="1:9" x14ac:dyDescent="0.35">
      <c r="A104" t="s">
        <v>729</v>
      </c>
      <c r="B104" t="s">
        <v>730</v>
      </c>
      <c r="C104" t="s">
        <v>684</v>
      </c>
      <c r="D104" t="s">
        <v>720</v>
      </c>
      <c r="E104" t="s">
        <v>34</v>
      </c>
      <c r="F104" t="s">
        <v>17</v>
      </c>
      <c r="G104" t="s">
        <v>93</v>
      </c>
      <c r="H104" t="s">
        <v>299</v>
      </c>
      <c r="I104" t="s">
        <v>731</v>
      </c>
    </row>
    <row r="105" spans="1:9" x14ac:dyDescent="0.35">
      <c r="A105" t="s">
        <v>733</v>
      </c>
      <c r="B105" t="s">
        <v>734</v>
      </c>
      <c r="C105" t="s">
        <v>684</v>
      </c>
      <c r="D105" t="s">
        <v>735</v>
      </c>
      <c r="E105" t="s">
        <v>16</v>
      </c>
      <c r="F105" t="s">
        <v>17</v>
      </c>
      <c r="G105" t="s">
        <v>224</v>
      </c>
      <c r="H105" t="s">
        <v>252</v>
      </c>
      <c r="I105" t="s">
        <v>289</v>
      </c>
    </row>
    <row r="106" spans="1:9" x14ac:dyDescent="0.35">
      <c r="A106" t="s">
        <v>737</v>
      </c>
      <c r="B106" t="s">
        <v>738</v>
      </c>
      <c r="C106" t="s">
        <v>684</v>
      </c>
      <c r="D106" t="s">
        <v>739</v>
      </c>
      <c r="E106" t="s">
        <v>34</v>
      </c>
      <c r="F106" t="s">
        <v>17</v>
      </c>
      <c r="G106" t="s">
        <v>93</v>
      </c>
      <c r="H106" t="s">
        <v>70</v>
      </c>
      <c r="I106" t="s">
        <v>741</v>
      </c>
    </row>
    <row r="107" spans="1:9" x14ac:dyDescent="0.35">
      <c r="A107" t="s">
        <v>744</v>
      </c>
      <c r="B107" t="s">
        <v>745</v>
      </c>
      <c r="C107" t="s">
        <v>684</v>
      </c>
      <c r="D107" t="s">
        <v>746</v>
      </c>
      <c r="E107" t="s">
        <v>318</v>
      </c>
      <c r="F107" t="s">
        <v>17</v>
      </c>
      <c r="G107" t="s">
        <v>319</v>
      </c>
      <c r="H107" t="s">
        <v>747</v>
      </c>
      <c r="I107" t="s">
        <v>748</v>
      </c>
    </row>
    <row r="108" spans="1:9" x14ac:dyDescent="0.35">
      <c r="A108" t="s">
        <v>751</v>
      </c>
      <c r="B108" t="s">
        <v>752</v>
      </c>
      <c r="C108" t="s">
        <v>753</v>
      </c>
      <c r="D108" t="s">
        <v>754</v>
      </c>
      <c r="E108" t="s">
        <v>16</v>
      </c>
      <c r="F108" t="s">
        <v>44</v>
      </c>
      <c r="G108" t="s">
        <v>18</v>
      </c>
      <c r="H108" t="s">
        <v>755</v>
      </c>
      <c r="I108" t="s">
        <v>757</v>
      </c>
    </row>
    <row r="109" spans="1:9" x14ac:dyDescent="0.35">
      <c r="A109" t="s">
        <v>761</v>
      </c>
      <c r="B109" t="s">
        <v>762</v>
      </c>
      <c r="C109" t="s">
        <v>753</v>
      </c>
      <c r="D109" t="s">
        <v>763</v>
      </c>
      <c r="E109" t="s">
        <v>34</v>
      </c>
      <c r="F109" t="s">
        <v>44</v>
      </c>
      <c r="G109" t="s">
        <v>18</v>
      </c>
      <c r="H109" t="s">
        <v>102</v>
      </c>
      <c r="I109" t="s">
        <v>765</v>
      </c>
    </row>
    <row r="110" spans="1:9" x14ac:dyDescent="0.35">
      <c r="A110" t="s">
        <v>768</v>
      </c>
      <c r="B110" t="s">
        <v>769</v>
      </c>
      <c r="C110" t="s">
        <v>753</v>
      </c>
      <c r="D110" t="s">
        <v>770</v>
      </c>
      <c r="E110" t="s">
        <v>34</v>
      </c>
      <c r="F110" t="s">
        <v>101</v>
      </c>
      <c r="G110" t="s">
        <v>35</v>
      </c>
      <c r="H110" t="s">
        <v>102</v>
      </c>
      <c r="I110" t="s">
        <v>772</v>
      </c>
    </row>
    <row r="111" spans="1:9" x14ac:dyDescent="0.35">
      <c r="A111" t="s">
        <v>774</v>
      </c>
      <c r="B111" t="s">
        <v>775</v>
      </c>
      <c r="C111" t="s">
        <v>753</v>
      </c>
      <c r="D111" t="s">
        <v>776</v>
      </c>
      <c r="E111" t="s">
        <v>34</v>
      </c>
      <c r="F111" t="s">
        <v>101</v>
      </c>
      <c r="G111" t="s">
        <v>93</v>
      </c>
      <c r="H111" t="s">
        <v>102</v>
      </c>
      <c r="I111" t="s">
        <v>778</v>
      </c>
    </row>
    <row r="112" spans="1:9" x14ac:dyDescent="0.35">
      <c r="A112" t="s">
        <v>780</v>
      </c>
      <c r="B112" t="s">
        <v>781</v>
      </c>
      <c r="C112" t="s">
        <v>753</v>
      </c>
      <c r="D112" t="s">
        <v>782</v>
      </c>
      <c r="E112" t="s">
        <v>34</v>
      </c>
      <c r="F112" t="s">
        <v>101</v>
      </c>
      <c r="G112" t="s">
        <v>18</v>
      </c>
      <c r="H112" t="s">
        <v>102</v>
      </c>
      <c r="I112" t="s">
        <v>784</v>
      </c>
    </row>
    <row r="113" spans="1:9" x14ac:dyDescent="0.35">
      <c r="A113" t="s">
        <v>787</v>
      </c>
      <c r="B113" t="s">
        <v>788</v>
      </c>
      <c r="C113" t="s">
        <v>789</v>
      </c>
      <c r="D113" t="s">
        <v>790</v>
      </c>
      <c r="E113" t="s">
        <v>16</v>
      </c>
      <c r="F113" t="s">
        <v>44</v>
      </c>
      <c r="G113" t="s">
        <v>18</v>
      </c>
      <c r="H113" t="s">
        <v>755</v>
      </c>
      <c r="I113" t="s">
        <v>792</v>
      </c>
    </row>
    <row r="114" spans="1:9" x14ac:dyDescent="0.35">
      <c r="A114" t="s">
        <v>795</v>
      </c>
      <c r="B114" t="s">
        <v>796</v>
      </c>
      <c r="C114" t="s">
        <v>789</v>
      </c>
      <c r="D114" t="s">
        <v>797</v>
      </c>
      <c r="E114" t="s">
        <v>34</v>
      </c>
      <c r="F114" t="s">
        <v>101</v>
      </c>
      <c r="G114" t="s">
        <v>18</v>
      </c>
      <c r="H114" t="s">
        <v>102</v>
      </c>
      <c r="I114" t="s">
        <v>799</v>
      </c>
    </row>
    <row r="115" spans="1:9" x14ac:dyDescent="0.35">
      <c r="A115" t="s">
        <v>801</v>
      </c>
      <c r="B115" t="s">
        <v>802</v>
      </c>
      <c r="C115" t="s">
        <v>789</v>
      </c>
      <c r="D115" t="s">
        <v>803</v>
      </c>
      <c r="E115" t="s">
        <v>34</v>
      </c>
      <c r="F115" t="s">
        <v>101</v>
      </c>
      <c r="G115" t="s">
        <v>93</v>
      </c>
      <c r="H115" t="s">
        <v>102</v>
      </c>
      <c r="I115" t="s">
        <v>804</v>
      </c>
    </row>
    <row r="116" spans="1:9" x14ac:dyDescent="0.35">
      <c r="A116" t="s">
        <v>806</v>
      </c>
      <c r="B116" t="s">
        <v>807</v>
      </c>
      <c r="C116" t="s">
        <v>789</v>
      </c>
      <c r="D116" t="s">
        <v>808</v>
      </c>
      <c r="E116" t="s">
        <v>34</v>
      </c>
      <c r="F116" t="s">
        <v>101</v>
      </c>
      <c r="G116" t="s">
        <v>18</v>
      </c>
      <c r="H116" t="s">
        <v>102</v>
      </c>
      <c r="I116" t="s">
        <v>810</v>
      </c>
    </row>
    <row r="117" spans="1:9" x14ac:dyDescent="0.35">
      <c r="A117" t="s">
        <v>813</v>
      </c>
      <c r="B117" t="s">
        <v>814</v>
      </c>
      <c r="C117" t="s">
        <v>815</v>
      </c>
      <c r="D117" t="s">
        <v>816</v>
      </c>
      <c r="E117" t="s">
        <v>16</v>
      </c>
      <c r="F117" t="s">
        <v>44</v>
      </c>
      <c r="G117" t="s">
        <v>18</v>
      </c>
      <c r="H117" t="s">
        <v>755</v>
      </c>
      <c r="I117" t="s">
        <v>818</v>
      </c>
    </row>
    <row r="118" spans="1:9" x14ac:dyDescent="0.35">
      <c r="A118" t="s">
        <v>821</v>
      </c>
      <c r="B118" t="s">
        <v>822</v>
      </c>
      <c r="C118" t="s">
        <v>815</v>
      </c>
      <c r="D118" t="s">
        <v>823</v>
      </c>
      <c r="E118" t="s">
        <v>16</v>
      </c>
      <c r="F118" t="s">
        <v>101</v>
      </c>
      <c r="G118" t="s">
        <v>93</v>
      </c>
      <c r="H118" t="s">
        <v>102</v>
      </c>
      <c r="I118" t="s">
        <v>825</v>
      </c>
    </row>
    <row r="119" spans="1:9" x14ac:dyDescent="0.35">
      <c r="A119" t="s">
        <v>828</v>
      </c>
      <c r="B119" t="s">
        <v>829</v>
      </c>
      <c r="C119" t="s">
        <v>815</v>
      </c>
      <c r="D119" t="s">
        <v>830</v>
      </c>
      <c r="E119" t="s">
        <v>34</v>
      </c>
      <c r="F119" t="s">
        <v>101</v>
      </c>
      <c r="G119" t="s">
        <v>18</v>
      </c>
      <c r="H119" t="s">
        <v>102</v>
      </c>
      <c r="I119" t="s">
        <v>832</v>
      </c>
    </row>
    <row r="120" spans="1:9" x14ac:dyDescent="0.35">
      <c r="A120" t="s">
        <v>834</v>
      </c>
      <c r="B120" t="s">
        <v>835</v>
      </c>
      <c r="C120" t="s">
        <v>815</v>
      </c>
      <c r="D120" t="s">
        <v>836</v>
      </c>
      <c r="E120" t="s">
        <v>16</v>
      </c>
      <c r="F120" t="s">
        <v>101</v>
      </c>
      <c r="G120" t="s">
        <v>93</v>
      </c>
      <c r="H120" t="s">
        <v>102</v>
      </c>
      <c r="I120" t="s">
        <v>837</v>
      </c>
    </row>
    <row r="121" spans="1:9" x14ac:dyDescent="0.35">
      <c r="A121" t="s">
        <v>839</v>
      </c>
      <c r="B121" t="s">
        <v>840</v>
      </c>
      <c r="C121" t="s">
        <v>815</v>
      </c>
      <c r="D121" t="s">
        <v>841</v>
      </c>
      <c r="E121" t="s">
        <v>34</v>
      </c>
      <c r="F121" t="s">
        <v>101</v>
      </c>
      <c r="G121" t="s">
        <v>35</v>
      </c>
      <c r="H121" t="s">
        <v>102</v>
      </c>
      <c r="I121" t="s">
        <v>843</v>
      </c>
    </row>
    <row r="122" spans="1:9" x14ac:dyDescent="0.35">
      <c r="A122" t="s">
        <v>846</v>
      </c>
      <c r="B122" t="s">
        <v>847</v>
      </c>
      <c r="C122" t="s">
        <v>815</v>
      </c>
      <c r="D122" t="s">
        <v>848</v>
      </c>
      <c r="E122" t="s">
        <v>34</v>
      </c>
      <c r="F122" t="s">
        <v>101</v>
      </c>
      <c r="G122" t="s">
        <v>18</v>
      </c>
      <c r="H122" t="s">
        <v>102</v>
      </c>
      <c r="I122" t="s">
        <v>850</v>
      </c>
    </row>
    <row r="123" spans="1:9" x14ac:dyDescent="0.35">
      <c r="A123" t="s">
        <v>853</v>
      </c>
      <c r="B123" t="s">
        <v>854</v>
      </c>
      <c r="C123" t="s">
        <v>224</v>
      </c>
      <c r="D123" t="s">
        <v>855</v>
      </c>
      <c r="E123" t="s">
        <v>16</v>
      </c>
      <c r="F123" t="s">
        <v>17</v>
      </c>
      <c r="G123" t="s">
        <v>224</v>
      </c>
      <c r="H123" t="s">
        <v>252</v>
      </c>
      <c r="I123" t="s">
        <v>856</v>
      </c>
    </row>
    <row r="124" spans="1:9" x14ac:dyDescent="0.35">
      <c r="A124" t="s">
        <v>858</v>
      </c>
      <c r="B124" t="s">
        <v>859</v>
      </c>
      <c r="C124" t="s">
        <v>224</v>
      </c>
      <c r="D124" t="s">
        <v>860</v>
      </c>
      <c r="E124" t="s">
        <v>34</v>
      </c>
      <c r="F124" t="s">
        <v>17</v>
      </c>
      <c r="G124" t="s">
        <v>224</v>
      </c>
      <c r="H124" t="s">
        <v>148</v>
      </c>
      <c r="I124" t="s">
        <v>861</v>
      </c>
    </row>
    <row r="125" spans="1:9" x14ac:dyDescent="0.35">
      <c r="A125" t="s">
        <v>864</v>
      </c>
      <c r="B125" t="s">
        <v>865</v>
      </c>
      <c r="C125" t="s">
        <v>224</v>
      </c>
      <c r="D125" t="s">
        <v>866</v>
      </c>
      <c r="E125" t="s">
        <v>16</v>
      </c>
      <c r="F125" t="s">
        <v>17</v>
      </c>
      <c r="G125" t="s">
        <v>224</v>
      </c>
      <c r="H125" t="s">
        <v>225</v>
      </c>
      <c r="I125" t="s">
        <v>868</v>
      </c>
    </row>
    <row r="126" spans="1:9" x14ac:dyDescent="0.35">
      <c r="A126" t="s">
        <v>870</v>
      </c>
      <c r="B126" t="s">
        <v>871</v>
      </c>
      <c r="C126" t="s">
        <v>224</v>
      </c>
      <c r="D126" t="s">
        <v>872</v>
      </c>
      <c r="E126" t="s">
        <v>16</v>
      </c>
      <c r="F126" t="s">
        <v>101</v>
      </c>
      <c r="G126" t="s">
        <v>224</v>
      </c>
      <c r="H126" t="s">
        <v>102</v>
      </c>
      <c r="I126" t="s">
        <v>874</v>
      </c>
    </row>
    <row r="127" spans="1:9" x14ac:dyDescent="0.35">
      <c r="A127" t="s">
        <v>877</v>
      </c>
      <c r="B127" t="s">
        <v>878</v>
      </c>
      <c r="C127" t="s">
        <v>224</v>
      </c>
      <c r="D127" t="s">
        <v>879</v>
      </c>
      <c r="E127" t="s">
        <v>16</v>
      </c>
      <c r="F127" t="s">
        <v>17</v>
      </c>
      <c r="G127" t="s">
        <v>224</v>
      </c>
      <c r="H127" t="s">
        <v>693</v>
      </c>
      <c r="I127" t="s">
        <v>881</v>
      </c>
    </row>
    <row r="128" spans="1:9" x14ac:dyDescent="0.35">
      <c r="A128" t="s">
        <v>883</v>
      </c>
      <c r="B128" t="s">
        <v>884</v>
      </c>
      <c r="C128" t="s">
        <v>224</v>
      </c>
      <c r="D128" t="s">
        <v>885</v>
      </c>
      <c r="E128" t="s">
        <v>34</v>
      </c>
      <c r="F128" t="s">
        <v>17</v>
      </c>
      <c r="G128" t="s">
        <v>224</v>
      </c>
      <c r="H128" t="s">
        <v>299</v>
      </c>
      <c r="I128" t="s">
        <v>886</v>
      </c>
    </row>
    <row r="129" spans="1:9" x14ac:dyDescent="0.35">
      <c r="A129" t="s">
        <v>888</v>
      </c>
      <c r="B129" t="s">
        <v>889</v>
      </c>
      <c r="C129" t="s">
        <v>224</v>
      </c>
      <c r="D129" t="s">
        <v>890</v>
      </c>
      <c r="E129" t="s">
        <v>34</v>
      </c>
      <c r="F129" t="s">
        <v>17</v>
      </c>
      <c r="G129" t="s">
        <v>224</v>
      </c>
      <c r="H129" t="s">
        <v>693</v>
      </c>
      <c r="I129" t="s">
        <v>891</v>
      </c>
    </row>
    <row r="130" spans="1:9" x14ac:dyDescent="0.35">
      <c r="A130" t="s">
        <v>894</v>
      </c>
      <c r="B130" t="s">
        <v>895</v>
      </c>
      <c r="C130" t="s">
        <v>224</v>
      </c>
      <c r="D130" t="s">
        <v>896</v>
      </c>
      <c r="E130" t="s">
        <v>34</v>
      </c>
      <c r="F130" t="s">
        <v>101</v>
      </c>
      <c r="G130" t="s">
        <v>224</v>
      </c>
      <c r="H130" t="s">
        <v>102</v>
      </c>
      <c r="I130" t="s">
        <v>898</v>
      </c>
    </row>
    <row r="131" spans="1:9" x14ac:dyDescent="0.35">
      <c r="A131" t="s">
        <v>902</v>
      </c>
      <c r="B131" t="s">
        <v>903</v>
      </c>
      <c r="C131" t="s">
        <v>45</v>
      </c>
      <c r="D131" t="s">
        <v>904</v>
      </c>
      <c r="E131" t="s">
        <v>34</v>
      </c>
      <c r="F131" t="s">
        <v>101</v>
      </c>
      <c r="G131" t="s">
        <v>45</v>
      </c>
      <c r="H131" t="s">
        <v>102</v>
      </c>
      <c r="I131" t="s">
        <v>906</v>
      </c>
    </row>
    <row r="132" spans="1:9" x14ac:dyDescent="0.35">
      <c r="A132" t="s">
        <v>910</v>
      </c>
      <c r="B132" t="s">
        <v>911</v>
      </c>
      <c r="C132" t="s">
        <v>45</v>
      </c>
      <c r="D132" t="s">
        <v>912</v>
      </c>
      <c r="E132" t="s">
        <v>16</v>
      </c>
      <c r="F132" t="s">
        <v>101</v>
      </c>
      <c r="G132" t="s">
        <v>45</v>
      </c>
      <c r="H132" t="s">
        <v>102</v>
      </c>
      <c r="I132" t="s">
        <v>914</v>
      </c>
    </row>
    <row r="133" spans="1:9" x14ac:dyDescent="0.35">
      <c r="A133" t="s">
        <v>916</v>
      </c>
      <c r="B133" t="s">
        <v>917</v>
      </c>
      <c r="C133" t="s">
        <v>45</v>
      </c>
      <c r="D133" t="s">
        <v>918</v>
      </c>
      <c r="E133" t="s">
        <v>34</v>
      </c>
      <c r="F133" t="s">
        <v>101</v>
      </c>
      <c r="G133" t="s">
        <v>45</v>
      </c>
      <c r="H133" t="s">
        <v>102</v>
      </c>
      <c r="I133" t="s">
        <v>920</v>
      </c>
    </row>
    <row r="134" spans="1:9" x14ac:dyDescent="0.35">
      <c r="A134" t="s">
        <v>923</v>
      </c>
      <c r="B134" t="s">
        <v>924</v>
      </c>
      <c r="C134" t="s">
        <v>45</v>
      </c>
      <c r="D134" t="s">
        <v>925</v>
      </c>
      <c r="E134" t="s">
        <v>34</v>
      </c>
      <c r="F134" t="s">
        <v>101</v>
      </c>
      <c r="G134" t="s">
        <v>45</v>
      </c>
      <c r="H134" t="s">
        <v>102</v>
      </c>
      <c r="I134" t="s">
        <v>927</v>
      </c>
    </row>
    <row r="135" spans="1:9" x14ac:dyDescent="0.35">
      <c r="A135" t="s">
        <v>930</v>
      </c>
      <c r="B135" t="s">
        <v>931</v>
      </c>
      <c r="C135" t="s">
        <v>45</v>
      </c>
      <c r="D135" t="s">
        <v>932</v>
      </c>
      <c r="E135" t="s">
        <v>34</v>
      </c>
      <c r="F135" t="s">
        <v>101</v>
      </c>
      <c r="G135" t="s">
        <v>45</v>
      </c>
      <c r="H135" t="s">
        <v>102</v>
      </c>
      <c r="I135" t="s">
        <v>934</v>
      </c>
    </row>
    <row r="136" spans="1:9" x14ac:dyDescent="0.35">
      <c r="A136" t="s">
        <v>936</v>
      </c>
      <c r="B136" t="s">
        <v>937</v>
      </c>
      <c r="C136" t="s">
        <v>45</v>
      </c>
      <c r="D136" t="s">
        <v>938</v>
      </c>
      <c r="E136" t="s">
        <v>16</v>
      </c>
      <c r="F136" t="s">
        <v>101</v>
      </c>
      <c r="G136" t="s">
        <v>45</v>
      </c>
      <c r="H136" t="s">
        <v>102</v>
      </c>
      <c r="I136" t="s">
        <v>940</v>
      </c>
    </row>
    <row r="137" spans="1:9" x14ac:dyDescent="0.35">
      <c r="A137" t="s">
        <v>943</v>
      </c>
      <c r="B137" t="s">
        <v>944</v>
      </c>
      <c r="C137" t="s">
        <v>945</v>
      </c>
      <c r="D137" t="s">
        <v>946</v>
      </c>
      <c r="E137" t="s">
        <v>16</v>
      </c>
      <c r="F137" t="s">
        <v>17</v>
      </c>
      <c r="G137" t="s">
        <v>945</v>
      </c>
      <c r="H137" t="s">
        <v>947</v>
      </c>
      <c r="I137" t="s">
        <v>949</v>
      </c>
    </row>
    <row r="138" spans="1:9" x14ac:dyDescent="0.35">
      <c r="A138" t="s">
        <v>953</v>
      </c>
      <c r="B138" t="s">
        <v>954</v>
      </c>
      <c r="C138" t="s">
        <v>945</v>
      </c>
      <c r="D138" t="s">
        <v>955</v>
      </c>
      <c r="E138" t="s">
        <v>16</v>
      </c>
      <c r="F138" t="s">
        <v>17</v>
      </c>
      <c r="G138" t="s">
        <v>945</v>
      </c>
      <c r="H138" t="s">
        <v>268</v>
      </c>
      <c r="I138" t="s">
        <v>957</v>
      </c>
    </row>
    <row r="139" spans="1:9" x14ac:dyDescent="0.35">
      <c r="A139" t="s">
        <v>961</v>
      </c>
      <c r="B139" t="s">
        <v>962</v>
      </c>
      <c r="C139" t="s">
        <v>945</v>
      </c>
      <c r="D139" t="s">
        <v>963</v>
      </c>
      <c r="E139" t="s">
        <v>16</v>
      </c>
      <c r="F139" t="s">
        <v>17</v>
      </c>
      <c r="G139" t="s">
        <v>945</v>
      </c>
      <c r="H139" t="s">
        <v>964</v>
      </c>
      <c r="I139" t="s">
        <v>966</v>
      </c>
    </row>
    <row r="140" spans="1:9" x14ac:dyDescent="0.35">
      <c r="A140" t="s">
        <v>970</v>
      </c>
      <c r="B140" t="s">
        <v>971</v>
      </c>
      <c r="C140" t="s">
        <v>945</v>
      </c>
      <c r="D140" t="s">
        <v>972</v>
      </c>
      <c r="E140" t="s">
        <v>16</v>
      </c>
      <c r="F140" t="s">
        <v>17</v>
      </c>
      <c r="G140" t="s">
        <v>945</v>
      </c>
      <c r="H140" t="s">
        <v>973</v>
      </c>
      <c r="I140" t="s">
        <v>975</v>
      </c>
    </row>
    <row r="141" spans="1:9" x14ac:dyDescent="0.35">
      <c r="A141" t="s">
        <v>980</v>
      </c>
      <c r="B141" t="s">
        <v>981</v>
      </c>
      <c r="C141" t="s">
        <v>945</v>
      </c>
      <c r="D141" t="s">
        <v>982</v>
      </c>
      <c r="E141" t="s">
        <v>16</v>
      </c>
      <c r="F141" t="s">
        <v>17</v>
      </c>
      <c r="G141" t="s">
        <v>945</v>
      </c>
      <c r="H141" t="s">
        <v>983</v>
      </c>
      <c r="I141" t="s">
        <v>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Coverage Summary</vt:lpstr>
      <vt:lpstr>Traceability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Ellebie, Mark</dc:creator>
  <cp:lastModifiedBy>Ellebie, Mark</cp:lastModifiedBy>
  <dcterms:created xsi:type="dcterms:W3CDTF">2026-07-24T06:13:08Z</dcterms:created>
  <dcterms:modified xsi:type="dcterms:W3CDTF">2026-07-24T06:14:04Z</dcterms:modified>
</cp:coreProperties>
</file>